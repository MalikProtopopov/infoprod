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Детализация" sheetId="3" state="visible" r:id="rId3"/>
    <sheet xmlns:r="http://schemas.openxmlformats.org/officeDocument/2006/relationships" name="Пакеты" sheetId="4" state="visible" r:id="rId4"/>
    <sheet xmlns:r="http://schemas.openxmlformats.org/officeDocument/2006/relationships" name="Матриц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B7280"/>
      <sz val="9"/>
    </font>
    <font>
      <b val="1"/>
      <color rgb="001E1B4B"/>
      <sz val="11"/>
    </font>
    <font>
      <b val="1"/>
      <color rgb="0092400E"/>
      <sz val="10"/>
    </font>
    <font>
      <b val="1"/>
      <color rgb="004F46E5"/>
      <sz val="11"/>
    </font>
    <font>
      <b val="1"/>
      <color rgb="00059669"/>
      <sz val="12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Часовая ставка (₽)</t>
        </is>
      </c>
      <c r="B2" s="3" t="n">
        <v>5000</v>
      </c>
    </row>
    <row r="3">
      <c r="A3" s="2" t="inlineStr">
        <is>
          <t>Проект</t>
        </is>
      </c>
      <c r="B3" s="4" t="inlineStr">
        <is>
          <t>Grammy</t>
        </is>
      </c>
    </row>
    <row r="4">
      <c r="A4" s="2" t="inlineStr">
        <is>
          <t>Описание</t>
        </is>
      </c>
      <c r="B4" s="4" t="inlineStr">
        <is>
          <t>Telegram-бот продажи доступа в закрытые каналы + админ-панель</t>
        </is>
      </c>
    </row>
    <row r="6">
      <c r="A6" s="5" t="inlineStr">
        <is>
          <t>Изменение ставки в B2 автоматически пересчитает все стоимости на других листах.</t>
        </is>
      </c>
    </row>
  </sheetData>
  <mergeCells count="1"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  <c r="J1" s="1" t="inlineStr">
        <is>
          <t>Пакеты</t>
        </is>
      </c>
    </row>
    <row r="2">
      <c r="A2" s="2" t="inlineStr">
        <is>
          <t>M01</t>
        </is>
      </c>
      <c r="B2" s="4" t="inlineStr">
        <is>
          <t>Платформа и инфраструктура</t>
        </is>
      </c>
      <c r="C2" s="6" t="n">
        <v>0</v>
      </c>
      <c r="D2" s="6" t="n">
        <v>0</v>
      </c>
      <c r="E2" s="6" t="n">
        <v>0</v>
      </c>
      <c r="F2" s="6" t="n">
        <v>5</v>
      </c>
      <c r="G2" s="6" t="n">
        <v>0</v>
      </c>
      <c r="H2" s="6" t="n">
        <v>5</v>
      </c>
      <c r="I2" s="3">
        <f>H2*Параметры!$B$2</f>
        <v/>
      </c>
      <c r="J2" s="4" t="inlineStr">
        <is>
          <t>base, standard, premium</t>
        </is>
      </c>
    </row>
    <row r="3">
      <c r="A3" s="2" t="inlineStr">
        <is>
          <t>M02</t>
        </is>
      </c>
      <c r="B3" s="4" t="inlineStr">
        <is>
          <t>Аутентификация и RBAC</t>
        </is>
      </c>
      <c r="C3" s="6" t="n">
        <v>4</v>
      </c>
      <c r="D3" s="6" t="n">
        <v>2</v>
      </c>
      <c r="E3" s="6" t="n">
        <v>2</v>
      </c>
      <c r="F3" s="6" t="n">
        <v>0</v>
      </c>
      <c r="G3" s="6" t="n">
        <v>1</v>
      </c>
      <c r="H3" s="6" t="n">
        <v>9</v>
      </c>
      <c r="I3" s="3">
        <f>H3*Параметры!$B$2</f>
        <v/>
      </c>
      <c r="J3" s="4" t="inlineStr">
        <is>
          <t>base, standard, premium</t>
        </is>
      </c>
    </row>
    <row r="4">
      <c r="A4" s="2" t="inlineStr">
        <is>
          <t>M03</t>
        </is>
      </c>
      <c r="B4" s="4" t="inlineStr">
        <is>
          <t>Каталог: продукты, каналы, боты</t>
        </is>
      </c>
      <c r="C4" s="6" t="n">
        <v>4</v>
      </c>
      <c r="D4" s="6" t="n">
        <v>4</v>
      </c>
      <c r="E4" s="6" t="n">
        <v>1</v>
      </c>
      <c r="F4" s="6" t="n">
        <v>0</v>
      </c>
      <c r="G4" s="6" t="n">
        <v>4</v>
      </c>
      <c r="H4" s="6" t="n">
        <v>13</v>
      </c>
      <c r="I4" s="3">
        <f>H4*Параметры!$B$2</f>
        <v/>
      </c>
      <c r="J4" s="4" t="inlineStr">
        <is>
          <t>base, standard, premium</t>
        </is>
      </c>
    </row>
    <row r="5">
      <c r="A5" s="2" t="inlineStr">
        <is>
          <t>M04</t>
        </is>
      </c>
      <c r="B5" s="4" t="inlineStr">
        <is>
          <t>Пользователи и first-touch</t>
        </is>
      </c>
      <c r="C5" s="6" t="n">
        <v>3</v>
      </c>
      <c r="D5" s="6" t="n">
        <v>2</v>
      </c>
      <c r="E5" s="6" t="n">
        <v>1</v>
      </c>
      <c r="F5" s="6" t="n">
        <v>0</v>
      </c>
      <c r="G5" s="6" t="n">
        <v>0</v>
      </c>
      <c r="H5" s="6" t="n">
        <v>6</v>
      </c>
      <c r="I5" s="3">
        <f>H5*Параметры!$B$2</f>
        <v/>
      </c>
      <c r="J5" s="4" t="inlineStr">
        <is>
          <t>base, standard, premium</t>
        </is>
      </c>
    </row>
    <row r="6">
      <c r="A6" s="2" t="inlineStr">
        <is>
          <t>M05</t>
        </is>
      </c>
      <c r="B6" s="4" t="inlineStr">
        <is>
          <t>Заявки (Leads)</t>
        </is>
      </c>
      <c r="C6" s="6" t="n">
        <v>2</v>
      </c>
      <c r="D6" s="6" t="n">
        <v>2</v>
      </c>
      <c r="E6" s="6" t="n">
        <v>1</v>
      </c>
      <c r="F6" s="6" t="n">
        <v>0</v>
      </c>
      <c r="G6" s="6" t="n">
        <v>0</v>
      </c>
      <c r="H6" s="6" t="n">
        <v>5</v>
      </c>
      <c r="I6" s="3">
        <f>H6*Параметры!$B$2</f>
        <v/>
      </c>
      <c r="J6" s="4" t="inlineStr">
        <is>
          <t>base, standard, premium</t>
        </is>
      </c>
    </row>
    <row r="7">
      <c r="A7" s="2" t="inlineStr">
        <is>
          <t>M06</t>
        </is>
      </c>
      <c r="B7" s="4" t="inlineStr">
        <is>
          <t>Платежи и подписки</t>
        </is>
      </c>
      <c r="C7" s="6" t="n">
        <v>6</v>
      </c>
      <c r="D7" s="6" t="n">
        <v>3</v>
      </c>
      <c r="E7" s="6" t="n">
        <v>1</v>
      </c>
      <c r="F7" s="6" t="n">
        <v>0</v>
      </c>
      <c r="G7" s="6" t="n">
        <v>4</v>
      </c>
      <c r="H7" s="6" t="n">
        <v>14</v>
      </c>
      <c r="I7" s="3">
        <f>H7*Параметры!$B$2</f>
        <v/>
      </c>
      <c r="J7" s="4" t="inlineStr">
        <is>
          <t>base, standard, premium</t>
        </is>
      </c>
    </row>
    <row r="8">
      <c r="A8" s="2" t="inlineStr">
        <is>
          <t>M07</t>
        </is>
      </c>
      <c r="B8" s="4" t="inlineStr">
        <is>
          <t>Воронки прогрева (Студия)</t>
        </is>
      </c>
      <c r="C8" s="6" t="n">
        <v>5</v>
      </c>
      <c r="D8" s="6" t="n">
        <v>12</v>
      </c>
      <c r="E8" s="6" t="n">
        <v>9</v>
      </c>
      <c r="F8" s="6" t="n">
        <v>0</v>
      </c>
      <c r="G8" s="6" t="n">
        <v>2</v>
      </c>
      <c r="H8" s="6" t="n">
        <v>28</v>
      </c>
      <c r="I8" s="3">
        <f>H8*Параметры!$B$2</f>
        <v/>
      </c>
      <c r="J8" s="4" t="inlineStr">
        <is>
          <t>standard, premium</t>
        </is>
      </c>
    </row>
    <row r="9">
      <c r="A9" s="2" t="inlineStr">
        <is>
          <t>M08</t>
        </is>
      </c>
      <c r="B9" s="4" t="inlineStr">
        <is>
          <t>Лидмагниты</t>
        </is>
      </c>
      <c r="C9" s="6" t="n">
        <v>2</v>
      </c>
      <c r="D9" s="6" t="n">
        <v>2</v>
      </c>
      <c r="E9" s="6" t="n">
        <v>1</v>
      </c>
      <c r="F9" s="6" t="n">
        <v>0</v>
      </c>
      <c r="G9" s="6" t="n">
        <v>0</v>
      </c>
      <c r="H9" s="6" t="n">
        <v>5</v>
      </c>
      <c r="I9" s="3">
        <f>H9*Параметры!$B$2</f>
        <v/>
      </c>
      <c r="J9" s="4" t="inlineStr">
        <is>
          <t>standard, premium</t>
        </is>
      </c>
    </row>
    <row r="10">
      <c r="A10" s="2" t="inlineStr">
        <is>
          <t>M09</t>
        </is>
      </c>
      <c r="B10" s="4" t="inlineStr">
        <is>
          <t>Точки входа: tracking-ссылки и кодовые слова</t>
        </is>
      </c>
      <c r="C10" s="6" t="n">
        <v>5</v>
      </c>
      <c r="D10" s="6" t="n">
        <v>3</v>
      </c>
      <c r="E10" s="6" t="n">
        <v>1</v>
      </c>
      <c r="F10" s="6" t="n">
        <v>0</v>
      </c>
      <c r="G10" s="6" t="n">
        <v>0</v>
      </c>
      <c r="H10" s="6" t="n">
        <v>9</v>
      </c>
      <c r="I10" s="3">
        <f>H10*Параметры!$B$2</f>
        <v/>
      </c>
      <c r="J10" s="4" t="inlineStr">
        <is>
          <t>standard, premium</t>
        </is>
      </c>
    </row>
    <row r="11">
      <c r="A11" s="2" t="inlineStr">
        <is>
          <t>M10</t>
        </is>
      </c>
      <c r="B11" s="4" t="inlineStr">
        <is>
          <t>Аналитика и метрики</t>
        </is>
      </c>
      <c r="C11" s="6" t="n">
        <v>4</v>
      </c>
      <c r="D11" s="6" t="n">
        <v>10</v>
      </c>
      <c r="E11" s="6" t="n">
        <v>2</v>
      </c>
      <c r="F11" s="6" t="n">
        <v>0</v>
      </c>
      <c r="G11" s="6" t="n">
        <v>0</v>
      </c>
      <c r="H11" s="6" t="n">
        <v>16</v>
      </c>
      <c r="I11" s="3">
        <f>H11*Параметры!$B$2</f>
        <v/>
      </c>
      <c r="J11" s="4" t="inlineStr">
        <is>
          <t>standard, premium</t>
        </is>
      </c>
    </row>
    <row r="12">
      <c r="A12" s="2" t="inlineStr">
        <is>
          <t>M11</t>
        </is>
      </c>
      <c r="B12" s="4" t="inlineStr">
        <is>
          <t>Telegram-бот (aiogram, multi-bot)</t>
        </is>
      </c>
      <c r="C12" s="6" t="n">
        <v>7</v>
      </c>
      <c r="D12" s="6" t="n">
        <v>0</v>
      </c>
      <c r="E12" s="6" t="n">
        <v>1</v>
      </c>
      <c r="F12" s="6" t="n">
        <v>0</v>
      </c>
      <c r="G12" s="6" t="n">
        <v>3</v>
      </c>
      <c r="H12" s="6" t="n">
        <v>11</v>
      </c>
      <c r="I12" s="3">
        <f>H12*Параметры!$B$2</f>
        <v/>
      </c>
      <c r="J12" s="4" t="inlineStr">
        <is>
          <t>base, standard, premium</t>
        </is>
      </c>
    </row>
    <row r="13">
      <c r="A13" s="2" t="inlineStr">
        <is>
          <t>M12</t>
        </is>
      </c>
      <c r="B13" s="4" t="inlineStr">
        <is>
          <t>Админ-панель UI/UX (база)</t>
        </is>
      </c>
      <c r="C13" s="6" t="n">
        <v>0</v>
      </c>
      <c r="D13" s="6" t="n">
        <v>8</v>
      </c>
      <c r="E13" s="6" t="n">
        <v>4</v>
      </c>
      <c r="F13" s="6" t="n">
        <v>0</v>
      </c>
      <c r="G13" s="6" t="n">
        <v>1</v>
      </c>
      <c r="H13" s="6" t="n">
        <v>13</v>
      </c>
      <c r="I13" s="3">
        <f>H13*Параметры!$B$2</f>
        <v/>
      </c>
      <c r="J13" s="4" t="inlineStr">
        <is>
          <t>base, standard, premium</t>
        </is>
      </c>
    </row>
    <row r="14">
      <c r="A14" s="2" t="inlineStr">
        <is>
          <t>M13</t>
        </is>
      </c>
      <c r="B14" s="4" t="inlineStr">
        <is>
          <t>Брендинг и SEO</t>
        </is>
      </c>
      <c r="C14" s="6" t="n">
        <v>0</v>
      </c>
      <c r="D14" s="6" t="n">
        <v>3</v>
      </c>
      <c r="E14" s="6" t="n">
        <v>1</v>
      </c>
      <c r="F14" s="6" t="n">
        <v>0</v>
      </c>
      <c r="G14" s="6" t="n">
        <v>0</v>
      </c>
      <c r="H14" s="6" t="n">
        <v>4</v>
      </c>
      <c r="I14" s="3">
        <f>H14*Параметры!$B$2</f>
        <v/>
      </c>
      <c r="J14" s="4" t="inlineStr">
        <is>
          <t>base, standard, premium</t>
        </is>
      </c>
    </row>
    <row r="15">
      <c r="A15" s="2" t="inlineStr">
        <is>
          <t>M14</t>
        </is>
      </c>
      <c r="B15" s="4" t="inlineStr">
        <is>
          <t>Аудит-журнал</t>
        </is>
      </c>
      <c r="C15" s="6" t="n">
        <v>4</v>
      </c>
      <c r="D15" s="6" t="n">
        <v>1</v>
      </c>
      <c r="E15" s="6" t="n">
        <v>1</v>
      </c>
      <c r="F15" s="6" t="n">
        <v>0</v>
      </c>
      <c r="G15" s="6" t="n">
        <v>0</v>
      </c>
      <c r="H15" s="6" t="n">
        <v>6</v>
      </c>
      <c r="I15" s="3">
        <f>H15*Параметры!$B$2</f>
        <v/>
      </c>
      <c r="J15" s="4" t="inlineStr">
        <is>
          <t>premium</t>
        </is>
      </c>
    </row>
    <row r="16">
      <c r="A16" s="2" t="inlineStr">
        <is>
          <t>M15</t>
        </is>
      </c>
      <c r="B16" s="4" t="inlineStr">
        <is>
          <t>Observability и алерты</t>
        </is>
      </c>
      <c r="C16" s="6" t="n">
        <v>1</v>
      </c>
      <c r="D16" s="6" t="n">
        <v>0</v>
      </c>
      <c r="E16" s="6" t="n">
        <v>1</v>
      </c>
      <c r="F16" s="6" t="n">
        <v>5</v>
      </c>
      <c r="G16" s="6" t="n">
        <v>0</v>
      </c>
      <c r="H16" s="6" t="n">
        <v>7</v>
      </c>
      <c r="I16" s="3">
        <f>H16*Параметры!$B$2</f>
        <v/>
      </c>
      <c r="J16" s="4" t="inlineStr">
        <is>
          <t>standard, premium</t>
        </is>
      </c>
    </row>
    <row r="17">
      <c r="A17" s="2" t="inlineStr">
        <is>
          <t>M16</t>
        </is>
      </c>
      <c r="B17" s="4" t="inlineStr">
        <is>
          <t>QA: тесты и CI/CD</t>
        </is>
      </c>
      <c r="C17" s="6" t="n">
        <v>0</v>
      </c>
      <c r="D17" s="6" t="n">
        <v>0</v>
      </c>
      <c r="E17" s="6" t="n">
        <v>0</v>
      </c>
      <c r="F17" s="6" t="n">
        <v>2</v>
      </c>
      <c r="G17" s="6" t="n">
        <v>10</v>
      </c>
      <c r="H17" s="6" t="n">
        <v>12</v>
      </c>
      <c r="I17" s="3">
        <f>H17*Параметры!$B$2</f>
        <v/>
      </c>
      <c r="J17" s="4" t="inlineStr">
        <is>
          <t>premium</t>
        </is>
      </c>
    </row>
    <row r="18">
      <c r="A18" s="7" t="inlineStr">
        <is>
          <t>ИТОГО</t>
        </is>
      </c>
      <c r="B18" s="7" t="inlineStr">
        <is>
          <t>Все модули (полная комплектация)</t>
        </is>
      </c>
      <c r="C18" s="8">
        <f>SUM(C2:C17)</f>
        <v/>
      </c>
      <c r="D18" s="8">
        <f>SUM(D2:D17)</f>
        <v/>
      </c>
      <c r="E18" s="8">
        <f>SUM(E2:E17)</f>
        <v/>
      </c>
      <c r="F18" s="8">
        <f>SUM(F2:F17)</f>
        <v/>
      </c>
      <c r="G18" s="8">
        <f>SUM(G2:G17)</f>
        <v/>
      </c>
      <c r="H18" s="8">
        <f>SUM(H2:H17)</f>
        <v/>
      </c>
      <c r="I18" s="9">
        <f>H18*Параметры!$B$2</f>
        <v/>
      </c>
      <c r="J1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Модуль ТЗ</t>
        </is>
      </c>
      <c r="B1" s="1" t="inlineStr">
        <is>
          <t>Задача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</row>
    <row r="2">
      <c r="A2" s="10" t="inlineStr">
        <is>
          <t>M01. Платформа и инфраструктура</t>
        </is>
      </c>
    </row>
    <row r="3">
      <c r="A3" s="2" t="inlineStr">
        <is>
          <t>M01</t>
        </is>
      </c>
      <c r="B3" s="4" t="inlineStr">
        <is>
          <t>Docker Compose: db / backend / admin / nginx / certbot</t>
        </is>
      </c>
      <c r="C3" s="6" t="inlineStr"/>
      <c r="D3" s="6" t="inlineStr"/>
      <c r="E3" s="6" t="inlineStr"/>
      <c r="F3" s="6" t="n">
        <v>3</v>
      </c>
      <c r="G3" s="6" t="inlineStr"/>
      <c r="H3" s="6" t="n">
        <v>3</v>
      </c>
      <c r="I3" s="3">
        <f>H3*Параметры!$B$2</f>
        <v/>
      </c>
    </row>
    <row r="4">
      <c r="A4" s="2" t="inlineStr">
        <is>
          <t>M01</t>
        </is>
      </c>
      <c r="B4" s="4" t="inlineStr">
        <is>
          <t>Healthcheck Postgres + /api/healthz endpoint</t>
        </is>
      </c>
      <c r="C4" s="6" t="inlineStr"/>
      <c r="D4" s="6" t="inlineStr"/>
      <c r="E4" s="6" t="inlineStr"/>
      <c r="F4" s="6" t="inlineStr"/>
      <c r="G4" s="6" t="inlineStr"/>
      <c r="H4" s="6" t="n">
        <v>0</v>
      </c>
      <c r="I4" s="3">
        <f>H4*Параметры!$B$2</f>
        <v/>
      </c>
    </row>
    <row r="5">
      <c r="A5" s="2" t="inlineStr">
        <is>
          <t>M01</t>
        </is>
      </c>
      <c r="B5" s="4" t="inlineStr">
        <is>
          <t>Nginx-конфиг с SSL termination и проксированием</t>
        </is>
      </c>
      <c r="C5" s="6" t="inlineStr"/>
      <c r="D5" s="6" t="inlineStr"/>
      <c r="E5" s="6" t="inlineStr"/>
      <c r="F5" s="6" t="n">
        <v>1</v>
      </c>
      <c r="G5" s="6" t="inlineStr"/>
      <c r="H5" s="6" t="n">
        <v>1</v>
      </c>
      <c r="I5" s="3">
        <f>H5*Параметры!$B$2</f>
        <v/>
      </c>
    </row>
    <row r="6">
      <c r="A6" s="2" t="inlineStr">
        <is>
          <t>M01</t>
        </is>
      </c>
      <c r="B6" s="4" t="inlineStr">
        <is>
          <t>Certbot webroot + auto-renew</t>
        </is>
      </c>
      <c r="C6" s="6" t="inlineStr"/>
      <c r="D6" s="6" t="inlineStr"/>
      <c r="E6" s="6" t="inlineStr"/>
      <c r="F6" s="6" t="n">
        <v>1</v>
      </c>
      <c r="G6" s="6" t="inlineStr"/>
      <c r="H6" s="6" t="n">
        <v>1</v>
      </c>
      <c r="I6" s="3">
        <f>H6*Параметры!$B$2</f>
        <v/>
      </c>
    </row>
    <row r="7">
      <c r="A7" s="2" t="inlineStr">
        <is>
          <t>M01</t>
        </is>
      </c>
      <c r="B7" s="4" t="inlineStr">
        <is>
          <t>Cron daily docker cleanup</t>
        </is>
      </c>
      <c r="C7" s="6" t="inlineStr"/>
      <c r="D7" s="6" t="inlineStr"/>
      <c r="E7" s="6" t="inlineStr"/>
      <c r="F7" s="6" t="inlineStr"/>
      <c r="G7" s="6" t="inlineStr"/>
      <c r="H7" s="6" t="n">
        <v>0</v>
      </c>
      <c r="I7" s="3">
        <f>H7*Параметры!$B$2</f>
        <v/>
      </c>
    </row>
    <row r="8">
      <c r="A8" s="2" t="inlineStr">
        <is>
          <t>M01</t>
        </is>
      </c>
      <c r="B8" s="4" t="inlineStr">
        <is>
          <t>.env / .env.example / документация переменных</t>
        </is>
      </c>
      <c r="C8" s="6" t="inlineStr"/>
      <c r="D8" s="6" t="inlineStr"/>
      <c r="E8" s="6" t="inlineStr"/>
      <c r="F8" s="6" t="inlineStr"/>
      <c r="G8" s="6" t="inlineStr"/>
      <c r="H8" s="6" t="n">
        <v>0</v>
      </c>
      <c r="I8" s="3">
        <f>H8*Параметры!$B$2</f>
        <v/>
      </c>
    </row>
    <row r="9">
      <c r="A9" s="11" t="inlineStr"/>
      <c r="B9" s="11" t="inlineStr">
        <is>
          <t>Итого M01</t>
        </is>
      </c>
      <c r="C9" s="12" t="n">
        <v>0</v>
      </c>
      <c r="D9" s="12" t="n">
        <v>0</v>
      </c>
      <c r="E9" s="12" t="n">
        <v>0</v>
      </c>
      <c r="F9" s="12" t="n">
        <v>5</v>
      </c>
      <c r="G9" s="12" t="n">
        <v>0</v>
      </c>
      <c r="H9" s="12" t="n">
        <v>5</v>
      </c>
      <c r="I9" s="13">
        <f>H9*Параметры!$B$2</f>
        <v/>
      </c>
    </row>
    <row r="10">
      <c r="A10" s="10" t="inlineStr">
        <is>
          <t>M02. Аутентификация и RBAC</t>
        </is>
      </c>
    </row>
    <row r="11">
      <c r="A11" s="2" t="inlineStr">
        <is>
          <t>M02</t>
        </is>
      </c>
      <c r="B11" s="4" t="inlineStr">
        <is>
          <t>Backend: модель Admin + миграция + bcrypt-утилиты</t>
        </is>
      </c>
      <c r="C11" s="6" t="n">
        <v>1</v>
      </c>
      <c r="D11" s="6" t="inlineStr"/>
      <c r="E11" s="6" t="inlineStr"/>
      <c r="F11" s="6" t="inlineStr"/>
      <c r="G11" s="6" t="inlineStr"/>
      <c r="H11" s="6" t="n">
        <v>1</v>
      </c>
      <c r="I11" s="3">
        <f>H11*Параметры!$B$2</f>
        <v/>
      </c>
    </row>
    <row r="12">
      <c r="A12" s="2" t="inlineStr">
        <is>
          <t>M02</t>
        </is>
      </c>
      <c r="B12" s="4" t="inlineStr">
        <is>
          <t>Endpoint /auth/login + JWT + cookie + rate-limit</t>
        </is>
      </c>
      <c r="C12" s="6" t="n">
        <v>1</v>
      </c>
      <c r="D12" s="6" t="inlineStr"/>
      <c r="E12" s="6" t="inlineStr"/>
      <c r="F12" s="6" t="inlineStr"/>
      <c r="G12" s="6" t="n">
        <v>1</v>
      </c>
      <c r="H12" s="6" t="n">
        <v>2</v>
      </c>
      <c r="I12" s="3">
        <f>H12*Параметры!$B$2</f>
        <v/>
      </c>
    </row>
    <row r="13">
      <c r="A13" s="2" t="inlineStr">
        <is>
          <t>M02</t>
        </is>
      </c>
      <c r="B13" s="4" t="inlineStr">
        <is>
          <t>Endpoint /auth/me + /auth/logout + смена пароля</t>
        </is>
      </c>
      <c r="C13" s="6" t="n">
        <v>1</v>
      </c>
      <c r="D13" s="6" t="inlineStr"/>
      <c r="E13" s="6" t="inlineStr"/>
      <c r="F13" s="6" t="inlineStr"/>
      <c r="G13" s="6" t="inlineStr"/>
      <c r="H13" s="6" t="n">
        <v>1</v>
      </c>
      <c r="I13" s="3">
        <f>H13*Параметры!$B$2</f>
        <v/>
      </c>
    </row>
    <row r="14">
      <c r="A14" s="2" t="inlineStr">
        <is>
          <t>M02</t>
        </is>
      </c>
      <c r="B14" s="4" t="inlineStr">
        <is>
          <t>Dependency current_admin + require_role(*)</t>
        </is>
      </c>
      <c r="C14" s="6" t="n">
        <v>1</v>
      </c>
      <c r="D14" s="6" t="inlineStr"/>
      <c r="E14" s="6" t="inlineStr"/>
      <c r="F14" s="6" t="inlineStr"/>
      <c r="G14" s="6" t="inlineStr"/>
      <c r="H14" s="6" t="n">
        <v>1</v>
      </c>
      <c r="I14" s="3">
        <f>H14*Параметры!$B$2</f>
        <v/>
      </c>
    </row>
    <row r="15">
      <c r="A15" s="2" t="inlineStr">
        <is>
          <t>M02</t>
        </is>
      </c>
      <c r="B15" s="4" t="inlineStr">
        <is>
          <t>Frontend: /login форма + redirect логика</t>
        </is>
      </c>
      <c r="C15" s="6" t="inlineStr"/>
      <c r="D15" s="6" t="n">
        <v>1</v>
      </c>
      <c r="E15" s="6" t="n">
        <v>1</v>
      </c>
      <c r="F15" s="6" t="inlineStr"/>
      <c r="G15" s="6" t="inlineStr"/>
      <c r="H15" s="6" t="n">
        <v>2</v>
      </c>
      <c r="I15" s="3">
        <f>H15*Параметры!$B$2</f>
        <v/>
      </c>
    </row>
    <row r="16">
      <c r="A16" s="2" t="inlineStr">
        <is>
          <t>M02</t>
        </is>
      </c>
      <c r="B16" s="4" t="inlineStr">
        <is>
          <t>Frontend: auth-check в layout, fetch-обёртка с 401</t>
        </is>
      </c>
      <c r="C16" s="6" t="inlineStr"/>
      <c r="D16" s="6" t="n">
        <v>1</v>
      </c>
      <c r="E16" s="6" t="inlineStr"/>
      <c r="F16" s="6" t="inlineStr"/>
      <c r="G16" s="6" t="inlineStr"/>
      <c r="H16" s="6" t="n">
        <v>1</v>
      </c>
      <c r="I16" s="3">
        <f>H16*Параметры!$B$2</f>
        <v/>
      </c>
    </row>
    <row r="17">
      <c r="A17" s="2" t="inlineStr">
        <is>
          <t>M02</t>
        </is>
      </c>
      <c r="B17" s="4" t="inlineStr">
        <is>
          <t>UX: пустые поля, ошибки, состояние «вошёл»</t>
        </is>
      </c>
      <c r="C17" s="6" t="inlineStr"/>
      <c r="D17" s="6" t="inlineStr"/>
      <c r="E17" s="6" t="n">
        <v>1</v>
      </c>
      <c r="F17" s="6" t="inlineStr"/>
      <c r="G17" s="6" t="inlineStr"/>
      <c r="H17" s="6" t="n">
        <v>1</v>
      </c>
      <c r="I17" s="3">
        <f>H17*Параметры!$B$2</f>
        <v/>
      </c>
    </row>
    <row r="18">
      <c r="A18" s="11" t="inlineStr"/>
      <c r="B18" s="11" t="inlineStr">
        <is>
          <t>Итого M02</t>
        </is>
      </c>
      <c r="C18" s="12" t="n">
        <v>4</v>
      </c>
      <c r="D18" s="12" t="n">
        <v>2</v>
      </c>
      <c r="E18" s="12" t="n">
        <v>2</v>
      </c>
      <c r="F18" s="12" t="n">
        <v>0</v>
      </c>
      <c r="G18" s="12" t="n">
        <v>1</v>
      </c>
      <c r="H18" s="12" t="n">
        <v>9</v>
      </c>
      <c r="I18" s="13">
        <f>H18*Параметры!$B$2</f>
        <v/>
      </c>
    </row>
    <row r="19">
      <c r="A19" s="10" t="inlineStr">
        <is>
          <t>M03. Каталог: продукты, каналы, боты</t>
        </is>
      </c>
    </row>
    <row r="20">
      <c r="A20" s="2" t="inlineStr">
        <is>
          <t>M03</t>
        </is>
      </c>
      <c r="B20" s="4" t="inlineStr">
        <is>
          <t>Backend: модели Bot/Channel/Product + миграции</t>
        </is>
      </c>
      <c r="C20" s="6" t="n">
        <v>1</v>
      </c>
      <c r="D20" s="6" t="inlineStr"/>
      <c r="E20" s="6" t="inlineStr"/>
      <c r="F20" s="6" t="inlineStr"/>
      <c r="G20" s="6" t="inlineStr"/>
      <c r="H20" s="6" t="n">
        <v>1</v>
      </c>
      <c r="I20" s="3">
        <f>H20*Параметры!$B$2</f>
        <v/>
      </c>
    </row>
    <row r="21">
      <c r="A21" s="2" t="inlineStr">
        <is>
          <t>M03</t>
        </is>
      </c>
      <c r="B21" s="4" t="inlineStr">
        <is>
          <t>Backend API /bots (CRUD, getMe-валидация, sync polling)</t>
        </is>
      </c>
      <c r="C21" s="6" t="n">
        <v>1</v>
      </c>
      <c r="D21" s="6" t="inlineStr"/>
      <c r="E21" s="6" t="inlineStr"/>
      <c r="F21" s="6" t="inlineStr"/>
      <c r="G21" s="6" t="n">
        <v>1</v>
      </c>
      <c r="H21" s="6" t="n">
        <v>2</v>
      </c>
      <c r="I21" s="3">
        <f>H21*Параметры!$B$2</f>
        <v/>
      </c>
    </row>
    <row r="22">
      <c r="A22" s="2" t="inlineStr">
        <is>
          <t>M03</t>
        </is>
      </c>
      <c r="B22" s="4" t="inlineStr">
        <is>
          <t>Backend API /channels (CRUD, проверка прав бота)</t>
        </is>
      </c>
      <c r="C22" s="6" t="n">
        <v>1</v>
      </c>
      <c r="D22" s="6" t="inlineStr"/>
      <c r="E22" s="6" t="inlineStr"/>
      <c r="F22" s="6" t="inlineStr"/>
      <c r="G22" s="6" t="n">
        <v>1</v>
      </c>
      <c r="H22" s="6" t="n">
        <v>2</v>
      </c>
      <c r="I22" s="3">
        <f>H22*Параметры!$B$2</f>
        <v/>
      </c>
    </row>
    <row r="23">
      <c r="A23" s="2" t="inlineStr">
        <is>
          <t>M03</t>
        </is>
      </c>
      <c r="B23" s="4" t="inlineStr">
        <is>
          <t>Backend API /products (CRUD, code-unique, collision-check)</t>
        </is>
      </c>
      <c r="C23" s="6" t="n">
        <v>1</v>
      </c>
      <c r="D23" s="6" t="inlineStr"/>
      <c r="E23" s="6" t="inlineStr"/>
      <c r="F23" s="6" t="inlineStr"/>
      <c r="G23" s="6" t="n">
        <v>1</v>
      </c>
      <c r="H23" s="6" t="n">
        <v>2</v>
      </c>
      <c r="I23" s="3">
        <f>H23*Параметры!$B$2</f>
        <v/>
      </c>
    </row>
    <row r="24">
      <c r="A24" s="2" t="inlineStr">
        <is>
          <t>M03</t>
        </is>
      </c>
      <c r="B24" s="4" t="inlineStr">
        <is>
          <t>Frontend: страница /bots</t>
        </is>
      </c>
      <c r="C24" s="6" t="inlineStr"/>
      <c r="D24" s="6" t="n">
        <v>1</v>
      </c>
      <c r="E24" s="6" t="inlineStr"/>
      <c r="F24" s="6" t="inlineStr"/>
      <c r="G24" s="6" t="inlineStr"/>
      <c r="H24" s="6" t="n">
        <v>1</v>
      </c>
      <c r="I24" s="3">
        <f>H24*Параметры!$B$2</f>
        <v/>
      </c>
    </row>
    <row r="25">
      <c r="A25" s="2" t="inlineStr">
        <is>
          <t>M03</t>
        </is>
      </c>
      <c r="B25" s="4" t="inlineStr">
        <is>
          <t>Frontend: страница /channels</t>
        </is>
      </c>
      <c r="C25" s="6" t="inlineStr"/>
      <c r="D25" s="6" t="n">
        <v>1</v>
      </c>
      <c r="E25" s="6" t="inlineStr"/>
      <c r="F25" s="6" t="inlineStr"/>
      <c r="G25" s="6" t="inlineStr"/>
      <c r="H25" s="6" t="n">
        <v>1</v>
      </c>
      <c r="I25" s="3">
        <f>H25*Параметры!$B$2</f>
        <v/>
      </c>
    </row>
    <row r="26">
      <c r="A26" s="2" t="inlineStr">
        <is>
          <t>M03</t>
        </is>
      </c>
      <c r="B26" s="4" t="inlineStr">
        <is>
          <t>Frontend: страница /products + детали + ссылки</t>
        </is>
      </c>
      <c r="C26" s="6" t="inlineStr"/>
      <c r="D26" s="6" t="n">
        <v>2</v>
      </c>
      <c r="E26" s="6" t="inlineStr"/>
      <c r="F26" s="6" t="inlineStr"/>
      <c r="G26" s="6" t="n">
        <v>1</v>
      </c>
      <c r="H26" s="6" t="n">
        <v>3</v>
      </c>
      <c r="I26" s="3">
        <f>H26*Параметры!$B$2</f>
        <v/>
      </c>
    </row>
    <row r="27">
      <c r="A27" s="2" t="inlineStr">
        <is>
          <t>M03</t>
        </is>
      </c>
      <c r="B27" s="4" t="inlineStr">
        <is>
          <t>Дизайн: формы CRUD, пустые состояния, badges</t>
        </is>
      </c>
      <c r="C27" s="6" t="inlineStr"/>
      <c r="D27" s="6" t="inlineStr"/>
      <c r="E27" s="6" t="n">
        <v>1</v>
      </c>
      <c r="F27" s="6" t="inlineStr"/>
      <c r="G27" s="6" t="inlineStr"/>
      <c r="H27" s="6" t="n">
        <v>1</v>
      </c>
      <c r="I27" s="3">
        <f>H27*Параметры!$B$2</f>
        <v/>
      </c>
    </row>
    <row r="28">
      <c r="A28" s="11" t="inlineStr"/>
      <c r="B28" s="11" t="inlineStr">
        <is>
          <t>Итого M03</t>
        </is>
      </c>
      <c r="C28" s="12" t="n">
        <v>4</v>
      </c>
      <c r="D28" s="12" t="n">
        <v>4</v>
      </c>
      <c r="E28" s="12" t="n">
        <v>1</v>
      </c>
      <c r="F28" s="12" t="n">
        <v>0</v>
      </c>
      <c r="G28" s="12" t="n">
        <v>4</v>
      </c>
      <c r="H28" s="12" t="n">
        <v>13</v>
      </c>
      <c r="I28" s="13">
        <f>H28*Параметры!$B$2</f>
        <v/>
      </c>
    </row>
    <row r="29">
      <c r="A29" s="10" t="inlineStr">
        <is>
          <t>M04. Пользователи и first-touch</t>
        </is>
      </c>
    </row>
    <row r="30">
      <c r="A30" s="2" t="inlineStr">
        <is>
          <t>M04</t>
        </is>
      </c>
      <c r="B30" s="4" t="inlineStr">
        <is>
          <t>Backend: модель User + first_* поля + миграции</t>
        </is>
      </c>
      <c r="C30" s="6" t="n">
        <v>2</v>
      </c>
      <c r="D30" s="6" t="inlineStr"/>
      <c r="E30" s="6" t="inlineStr"/>
      <c r="F30" s="6" t="inlineStr"/>
      <c r="G30" s="6" t="inlineStr"/>
      <c r="H30" s="6" t="n">
        <v>2</v>
      </c>
      <c r="I30" s="3">
        <f>H30*Параметры!$B$2</f>
        <v/>
      </c>
    </row>
    <row r="31">
      <c r="A31" s="2" t="inlineStr">
        <is>
          <t>M04</t>
        </is>
      </c>
      <c r="B31" s="4" t="inlineStr">
        <is>
          <t>Backend: идемпотентная функция _set_first_touch</t>
        </is>
      </c>
      <c r="C31" s="6" t="inlineStr"/>
      <c r="D31" s="6" t="inlineStr"/>
      <c r="E31" s="6" t="inlineStr"/>
      <c r="F31" s="6" t="inlineStr"/>
      <c r="G31" s="6" t="inlineStr"/>
      <c r="H31" s="6" t="n">
        <v>0</v>
      </c>
      <c r="I31" s="3">
        <f>H31*Параметры!$B$2</f>
        <v/>
      </c>
    </row>
    <row r="32">
      <c r="A32" s="2" t="inlineStr">
        <is>
          <t>M04</t>
        </is>
      </c>
      <c r="B32" s="4" t="inlineStr">
        <is>
          <t>Backend API /users (поиск, профиль с JOIN)</t>
        </is>
      </c>
      <c r="C32" s="6" t="n">
        <v>1</v>
      </c>
      <c r="D32" s="6" t="inlineStr"/>
      <c r="E32" s="6" t="inlineStr"/>
      <c r="F32" s="6" t="inlineStr"/>
      <c r="G32" s="6" t="inlineStr"/>
      <c r="H32" s="6" t="n">
        <v>1</v>
      </c>
      <c r="I32" s="3">
        <f>H32*Параметры!$B$2</f>
        <v/>
      </c>
    </row>
    <row r="33">
      <c r="A33" s="2" t="inlineStr">
        <is>
          <t>M04</t>
        </is>
      </c>
      <c r="B33" s="4" t="inlineStr">
        <is>
          <t>Frontend: /users со строкой поиска</t>
        </is>
      </c>
      <c r="C33" s="6" t="inlineStr"/>
      <c r="D33" s="6" t="n">
        <v>1</v>
      </c>
      <c r="E33" s="6" t="inlineStr"/>
      <c r="F33" s="6" t="inlineStr"/>
      <c r="G33" s="6" t="inlineStr"/>
      <c r="H33" s="6" t="n">
        <v>1</v>
      </c>
      <c r="I33" s="3">
        <f>H33*Параметры!$B$2</f>
        <v/>
      </c>
    </row>
    <row r="34">
      <c r="A34" s="2" t="inlineStr">
        <is>
          <t>M04</t>
        </is>
      </c>
      <c r="B34" s="4" t="inlineStr">
        <is>
          <t>Frontend: /users/[id] с тремя вкладками истории</t>
        </is>
      </c>
      <c r="C34" s="6" t="inlineStr"/>
      <c r="D34" s="6" t="n">
        <v>1</v>
      </c>
      <c r="E34" s="6" t="inlineStr"/>
      <c r="F34" s="6" t="inlineStr"/>
      <c r="G34" s="6" t="inlineStr"/>
      <c r="H34" s="6" t="n">
        <v>1</v>
      </c>
      <c r="I34" s="3">
        <f>H34*Параметры!$B$2</f>
        <v/>
      </c>
    </row>
    <row r="35">
      <c r="A35" s="2" t="inlineStr">
        <is>
          <t>M04</t>
        </is>
      </c>
      <c r="B35" s="4" t="inlineStr">
        <is>
          <t>Дизайн: профиль пользователя</t>
        </is>
      </c>
      <c r="C35" s="6" t="inlineStr"/>
      <c r="D35" s="6" t="inlineStr"/>
      <c r="E35" s="6" t="n">
        <v>1</v>
      </c>
      <c r="F35" s="6" t="inlineStr"/>
      <c r="G35" s="6" t="inlineStr"/>
      <c r="H35" s="6" t="n">
        <v>1</v>
      </c>
      <c r="I35" s="3">
        <f>H35*Параметры!$B$2</f>
        <v/>
      </c>
    </row>
    <row r="36">
      <c r="A36" s="11" t="inlineStr"/>
      <c r="B36" s="11" t="inlineStr">
        <is>
          <t>Итого M04</t>
        </is>
      </c>
      <c r="C36" s="12" t="n">
        <v>3</v>
      </c>
      <c r="D36" s="12" t="n">
        <v>2</v>
      </c>
      <c r="E36" s="12" t="n">
        <v>1</v>
      </c>
      <c r="F36" s="12" t="n">
        <v>0</v>
      </c>
      <c r="G36" s="12" t="n">
        <v>0</v>
      </c>
      <c r="H36" s="12" t="n">
        <v>6</v>
      </c>
      <c r="I36" s="13">
        <f>H36*Параметры!$B$2</f>
        <v/>
      </c>
    </row>
    <row r="37">
      <c r="A37" s="10" t="inlineStr">
        <is>
          <t>M05. Заявки (Leads)</t>
        </is>
      </c>
    </row>
    <row r="38">
      <c r="A38" s="2" t="inlineStr">
        <is>
          <t>M05</t>
        </is>
      </c>
      <c r="B38" s="4" t="inlineStr">
        <is>
          <t>Backend: модель Lead + миграция + FSM</t>
        </is>
      </c>
      <c r="C38" s="6" t="n">
        <v>1</v>
      </c>
      <c r="D38" s="6" t="inlineStr"/>
      <c r="E38" s="6" t="inlineStr"/>
      <c r="F38" s="6" t="inlineStr"/>
      <c r="G38" s="6" t="inlineStr"/>
      <c r="H38" s="6" t="n">
        <v>1</v>
      </c>
      <c r="I38" s="3">
        <f>H38*Параметры!$B$2</f>
        <v/>
      </c>
    </row>
    <row r="39">
      <c r="A39" s="2" t="inlineStr">
        <is>
          <t>M05</t>
        </is>
      </c>
      <c r="B39" s="4" t="inlineStr">
        <is>
          <t>Backend API /leads (CRUD, фильтр, экспорт CSV)</t>
        </is>
      </c>
      <c r="C39" s="6" t="n">
        <v>1</v>
      </c>
      <c r="D39" s="6" t="inlineStr"/>
      <c r="E39" s="6" t="inlineStr"/>
      <c r="F39" s="6" t="inlineStr"/>
      <c r="G39" s="6" t="inlineStr"/>
      <c r="H39" s="6" t="n">
        <v>1</v>
      </c>
      <c r="I39" s="3">
        <f>H39*Параметры!$B$2</f>
        <v/>
      </c>
    </row>
    <row r="40">
      <c r="A40" s="2" t="inlineStr">
        <is>
          <t>M05</t>
        </is>
      </c>
      <c r="B40" s="4" t="inlineStr">
        <is>
          <t>Frontend: /leads с табами + badge в sidebar</t>
        </is>
      </c>
      <c r="C40" s="6" t="inlineStr"/>
      <c r="D40" s="6" t="n">
        <v>1</v>
      </c>
      <c r="E40" s="6" t="inlineStr"/>
      <c r="F40" s="6" t="inlineStr"/>
      <c r="G40" s="6" t="inlineStr"/>
      <c r="H40" s="6" t="n">
        <v>1</v>
      </c>
      <c r="I40" s="3">
        <f>H40*Параметры!$B$2</f>
        <v/>
      </c>
    </row>
    <row r="41">
      <c r="A41" s="2" t="inlineStr">
        <is>
          <t>M05</t>
        </is>
      </c>
      <c r="B41" s="4" t="inlineStr">
        <is>
          <t>Frontend: /leads/[id]</t>
        </is>
      </c>
      <c r="C41" s="6" t="inlineStr"/>
      <c r="D41" s="6" t="n">
        <v>1</v>
      </c>
      <c r="E41" s="6" t="inlineStr"/>
      <c r="F41" s="6" t="inlineStr"/>
      <c r="G41" s="6" t="inlineStr"/>
      <c r="H41" s="6" t="n">
        <v>1</v>
      </c>
      <c r="I41" s="3">
        <f>H41*Параметры!$B$2</f>
        <v/>
      </c>
    </row>
    <row r="42">
      <c r="A42" s="2" t="inlineStr">
        <is>
          <t>M05</t>
        </is>
      </c>
      <c r="B42" s="4" t="inlineStr">
        <is>
          <t>Дизайн: лид-карточка и таблица</t>
        </is>
      </c>
      <c r="C42" s="6" t="inlineStr"/>
      <c r="D42" s="6" t="inlineStr"/>
      <c r="E42" s="6" t="n">
        <v>1</v>
      </c>
      <c r="F42" s="6" t="inlineStr"/>
      <c r="G42" s="6" t="inlineStr"/>
      <c r="H42" s="6" t="n">
        <v>1</v>
      </c>
      <c r="I42" s="3">
        <f>H42*Параметры!$B$2</f>
        <v/>
      </c>
    </row>
    <row r="43">
      <c r="A43" s="11" t="inlineStr"/>
      <c r="B43" s="11" t="inlineStr">
        <is>
          <t>Итого M05</t>
        </is>
      </c>
      <c r="C43" s="12" t="n">
        <v>2</v>
      </c>
      <c r="D43" s="12" t="n">
        <v>2</v>
      </c>
      <c r="E43" s="12" t="n">
        <v>1</v>
      </c>
      <c r="F43" s="12" t="n">
        <v>0</v>
      </c>
      <c r="G43" s="12" t="n">
        <v>0</v>
      </c>
      <c r="H43" s="12" t="n">
        <v>5</v>
      </c>
      <c r="I43" s="13">
        <f>H43*Параметры!$B$2</f>
        <v/>
      </c>
    </row>
    <row r="44">
      <c r="A44" s="10" t="inlineStr">
        <is>
          <t>M06. Платежи и подписки</t>
        </is>
      </c>
    </row>
    <row r="45">
      <c r="A45" s="2" t="inlineStr">
        <is>
          <t>M06</t>
        </is>
      </c>
      <c r="B45" s="4" t="inlineStr">
        <is>
          <t>Backend: модели Payment + Subscription + миграции</t>
        </is>
      </c>
      <c r="C45" s="6" t="n">
        <v>1</v>
      </c>
      <c r="D45" s="6" t="inlineStr"/>
      <c r="E45" s="6" t="inlineStr"/>
      <c r="F45" s="6" t="inlineStr"/>
      <c r="G45" s="6" t="inlineStr"/>
      <c r="H45" s="6" t="n">
        <v>1</v>
      </c>
      <c r="I45" s="3">
        <f>H45*Параметры!$B$2</f>
        <v/>
      </c>
    </row>
    <row r="46">
      <c r="A46" s="2" t="inlineStr">
        <is>
          <t>M06</t>
        </is>
      </c>
      <c r="B46" s="4" t="inlineStr">
        <is>
          <t>Backend: сервис subscriptions.grant_for_payment</t>
        </is>
      </c>
      <c r="C46" s="6" t="n">
        <v>1</v>
      </c>
      <c r="D46" s="6" t="inlineStr"/>
      <c r="E46" s="6" t="inlineStr"/>
      <c r="F46" s="6" t="inlineStr"/>
      <c r="G46" s="6" t="n">
        <v>1</v>
      </c>
      <c r="H46" s="6" t="n">
        <v>2</v>
      </c>
      <c r="I46" s="3">
        <f>H46*Параметры!$B$2</f>
        <v/>
      </c>
    </row>
    <row r="47">
      <c r="A47" s="2" t="inlineStr">
        <is>
          <t>M06</t>
        </is>
      </c>
      <c r="B47" s="4" t="inlineStr">
        <is>
          <t>Backend: revoke/extend + интеграция aiogram (kick, invite)</t>
        </is>
      </c>
      <c r="C47" s="6" t="n">
        <v>1</v>
      </c>
      <c r="D47" s="6" t="inlineStr"/>
      <c r="E47" s="6" t="inlineStr"/>
      <c r="F47" s="6" t="inlineStr"/>
      <c r="G47" s="6" t="n">
        <v>1</v>
      </c>
      <c r="H47" s="6" t="n">
        <v>2</v>
      </c>
      <c r="I47" s="3">
        <f>H47*Параметры!$B$2</f>
        <v/>
      </c>
    </row>
    <row r="48">
      <c r="A48" s="2" t="inlineStr">
        <is>
          <t>M06</t>
        </is>
      </c>
      <c r="B48" s="4" t="inlineStr">
        <is>
          <t>Backend API /payments + /subscriptions</t>
        </is>
      </c>
      <c r="C48" s="6" t="n">
        <v>1</v>
      </c>
      <c r="D48" s="6" t="inlineStr"/>
      <c r="E48" s="6" t="inlineStr"/>
      <c r="F48" s="6" t="inlineStr"/>
      <c r="G48" s="6" t="n">
        <v>1</v>
      </c>
      <c r="H48" s="6" t="n">
        <v>2</v>
      </c>
      <c r="I48" s="3">
        <f>H48*Параметры!$B$2</f>
        <v/>
      </c>
    </row>
    <row r="49">
      <c r="A49" s="2" t="inlineStr">
        <is>
          <t>M06</t>
        </is>
      </c>
      <c r="B49" s="4" t="inlineStr">
        <is>
          <t>Backend: worker expire_due (APScheduler hourly)</t>
        </is>
      </c>
      <c r="C49" s="6" t="n">
        <v>1</v>
      </c>
      <c r="D49" s="6" t="inlineStr"/>
      <c r="E49" s="6" t="inlineStr"/>
      <c r="F49" s="6" t="inlineStr"/>
      <c r="G49" s="6" t="inlineStr"/>
      <c r="H49" s="6" t="n">
        <v>1</v>
      </c>
      <c r="I49" s="3">
        <f>H49*Параметры!$B$2</f>
        <v/>
      </c>
    </row>
    <row r="50">
      <c r="A50" s="2" t="inlineStr">
        <is>
          <t>M06</t>
        </is>
      </c>
      <c r="B50" s="4" t="inlineStr">
        <is>
          <t>Backend: Telegram Payments — PreCheckout + SuccessfulPayment</t>
        </is>
      </c>
      <c r="C50" s="6" t="n">
        <v>1</v>
      </c>
      <c r="D50" s="6" t="inlineStr"/>
      <c r="E50" s="6" t="inlineStr"/>
      <c r="F50" s="6" t="inlineStr"/>
      <c r="G50" s="6" t="n">
        <v>1</v>
      </c>
      <c r="H50" s="6" t="n">
        <v>2</v>
      </c>
      <c r="I50" s="3">
        <f>H50*Параметры!$B$2</f>
        <v/>
      </c>
    </row>
    <row r="51">
      <c r="A51" s="2" t="inlineStr">
        <is>
          <t>M06</t>
        </is>
      </c>
      <c r="B51" s="4" t="inlineStr">
        <is>
          <t>Frontend: /payments + UserPicker</t>
        </is>
      </c>
      <c r="C51" s="6" t="inlineStr"/>
      <c r="D51" s="6" t="n">
        <v>2</v>
      </c>
      <c r="E51" s="6" t="inlineStr"/>
      <c r="F51" s="6" t="inlineStr"/>
      <c r="G51" s="6" t="inlineStr"/>
      <c r="H51" s="6" t="n">
        <v>2</v>
      </c>
      <c r="I51" s="3">
        <f>H51*Параметры!$B$2</f>
        <v/>
      </c>
    </row>
    <row r="52">
      <c r="A52" s="2" t="inlineStr">
        <is>
          <t>M06</t>
        </is>
      </c>
      <c r="B52" s="4" t="inlineStr">
        <is>
          <t>Frontend: /subscriptions с действиями revoke/extend</t>
        </is>
      </c>
      <c r="C52" s="6" t="inlineStr"/>
      <c r="D52" s="6" t="n">
        <v>1</v>
      </c>
      <c r="E52" s="6" t="inlineStr"/>
      <c r="F52" s="6" t="inlineStr"/>
      <c r="G52" s="6" t="inlineStr"/>
      <c r="H52" s="6" t="n">
        <v>1</v>
      </c>
      <c r="I52" s="3">
        <f>H52*Параметры!$B$2</f>
        <v/>
      </c>
    </row>
    <row r="53">
      <c r="A53" s="2" t="inlineStr">
        <is>
          <t>M06</t>
        </is>
      </c>
      <c r="B53" s="4" t="inlineStr">
        <is>
          <t>Дизайн: формы платежа, статусы подписок</t>
        </is>
      </c>
      <c r="C53" s="6" t="inlineStr"/>
      <c r="D53" s="6" t="inlineStr"/>
      <c r="E53" s="6" t="n">
        <v>1</v>
      </c>
      <c r="F53" s="6" t="inlineStr"/>
      <c r="G53" s="6" t="inlineStr"/>
      <c r="H53" s="6" t="n">
        <v>1</v>
      </c>
      <c r="I53" s="3">
        <f>H53*Параметры!$B$2</f>
        <v/>
      </c>
    </row>
    <row r="54">
      <c r="A54" s="11" t="inlineStr"/>
      <c r="B54" s="11" t="inlineStr">
        <is>
          <t>Итого M06</t>
        </is>
      </c>
      <c r="C54" s="12" t="n">
        <v>6</v>
      </c>
      <c r="D54" s="12" t="n">
        <v>3</v>
      </c>
      <c r="E54" s="12" t="n">
        <v>1</v>
      </c>
      <c r="F54" s="12" t="n">
        <v>0</v>
      </c>
      <c r="G54" s="12" t="n">
        <v>4</v>
      </c>
      <c r="H54" s="12" t="n">
        <v>14</v>
      </c>
      <c r="I54" s="13">
        <f>H54*Параметры!$B$2</f>
        <v/>
      </c>
    </row>
    <row r="55">
      <c r="A55" s="10" t="inlineStr">
        <is>
          <t>M07. Воронки прогрева (Студия)</t>
        </is>
      </c>
    </row>
    <row r="56">
      <c r="A56" s="2" t="inlineStr">
        <is>
          <t>M07</t>
        </is>
      </c>
      <c r="B56" s="4" t="inlineStr">
        <is>
          <t>Backend: модели Funnel/FunnelStep/FunnelEntry/ScheduledMessage + миграции</t>
        </is>
      </c>
      <c r="C56" s="6" t="n">
        <v>1</v>
      </c>
      <c r="D56" s="6" t="inlineStr"/>
      <c r="E56" s="6" t="inlineStr"/>
      <c r="F56" s="6" t="inlineStr"/>
      <c r="G56" s="6" t="inlineStr"/>
      <c r="H56" s="6" t="n">
        <v>1</v>
      </c>
      <c r="I56" s="3">
        <f>H56*Параметры!$B$2</f>
        <v/>
      </c>
    </row>
    <row r="57">
      <c r="A57" s="2" t="inlineStr">
        <is>
          <t>M07</t>
        </is>
      </c>
      <c r="B57" s="4" t="inlineStr">
        <is>
          <t>Backend: сервис FunnelsService (start_for_user, cancel_entry)</t>
        </is>
      </c>
      <c r="C57" s="6" t="n">
        <v>1</v>
      </c>
      <c r="D57" s="6" t="inlineStr"/>
      <c r="E57" s="6" t="inlineStr"/>
      <c r="F57" s="6" t="inlineStr"/>
      <c r="G57" s="6" t="n">
        <v>1</v>
      </c>
      <c r="H57" s="6" t="n">
        <v>2</v>
      </c>
      <c r="I57" s="3">
        <f>H57*Параметры!$B$2</f>
        <v/>
      </c>
    </row>
    <row r="58">
      <c r="A58" s="2" t="inlineStr">
        <is>
          <t>M07</t>
        </is>
      </c>
      <c r="B58" s="4" t="inlineStr">
        <is>
          <t>Backend API /funnels (CRUD, reorder)</t>
        </is>
      </c>
      <c r="C58" s="6" t="n">
        <v>1</v>
      </c>
      <c r="D58" s="6" t="inlineStr"/>
      <c r="E58" s="6" t="inlineStr"/>
      <c r="F58" s="6" t="inlineStr"/>
      <c r="G58" s="6" t="inlineStr"/>
      <c r="H58" s="6" t="n">
        <v>1</v>
      </c>
      <c r="I58" s="3">
        <f>H58*Параметры!$B$2</f>
        <v/>
      </c>
    </row>
    <row r="59">
      <c r="A59" s="2" t="inlineStr">
        <is>
          <t>M07</t>
        </is>
      </c>
      <c r="B59" s="4" t="inlineStr">
        <is>
          <t>Backend API /funnels/{id}/entries</t>
        </is>
      </c>
      <c r="C59" s="6" t="n">
        <v>1</v>
      </c>
      <c r="D59" s="6" t="inlineStr"/>
      <c r="E59" s="6" t="inlineStr"/>
      <c r="F59" s="6" t="inlineStr"/>
      <c r="G59" s="6" t="inlineStr"/>
      <c r="H59" s="6" t="n">
        <v>1</v>
      </c>
      <c r="I59" s="3">
        <f>H59*Параметры!$B$2</f>
        <v/>
      </c>
    </row>
    <row r="60">
      <c r="A60" s="2" t="inlineStr">
        <is>
          <t>M07</t>
        </is>
      </c>
      <c r="B60" s="4" t="inlineStr">
        <is>
          <t>Backend: worker scheduled_messages (батч, шаблонизация, отмена)</t>
        </is>
      </c>
      <c r="C60" s="6" t="n">
        <v>1</v>
      </c>
      <c r="D60" s="6" t="inlineStr"/>
      <c r="E60" s="6" t="inlineStr"/>
      <c r="F60" s="6" t="inlineStr"/>
      <c r="G60" s="6" t="n">
        <v>1</v>
      </c>
      <c r="H60" s="6" t="n">
        <v>2</v>
      </c>
      <c r="I60" s="3">
        <f>H60*Параметры!$B$2</f>
        <v/>
      </c>
    </row>
    <row r="61">
      <c r="A61" s="2" t="inlineStr">
        <is>
          <t>M07</t>
        </is>
      </c>
      <c r="B61" s="4" t="inlineStr">
        <is>
          <t>Backend: cancel_on_payment интеграция</t>
        </is>
      </c>
      <c r="C61" s="6" t="inlineStr"/>
      <c r="D61" s="6" t="inlineStr"/>
      <c r="E61" s="6" t="inlineStr"/>
      <c r="F61" s="6" t="inlineStr"/>
      <c r="G61" s="6" t="inlineStr"/>
      <c r="H61" s="6" t="n">
        <v>0</v>
      </c>
      <c r="I61" s="3">
        <f>H61*Параметры!$B$2</f>
        <v/>
      </c>
    </row>
    <row r="62">
      <c r="A62" s="2" t="inlineStr">
        <is>
          <t>M07</t>
        </is>
      </c>
      <c r="B62" s="4" t="inlineStr">
        <is>
          <t>Frontend: Студия воронок — section 1 (параметры) с auto-save</t>
        </is>
      </c>
      <c r="C62" s="6" t="inlineStr"/>
      <c r="D62" s="6" t="n">
        <v>1</v>
      </c>
      <c r="E62" s="6" t="inlineStr"/>
      <c r="F62" s="6" t="inlineStr"/>
      <c r="G62" s="6" t="inlineStr"/>
      <c r="H62" s="6" t="n">
        <v>1</v>
      </c>
      <c r="I62" s="3">
        <f>H62*Параметры!$B$2</f>
        <v/>
      </c>
    </row>
    <row r="63">
      <c r="A63" s="2" t="inlineStr">
        <is>
          <t>M07</t>
        </is>
      </c>
      <c r="B63" s="4" t="inlineStr">
        <is>
          <t>Frontend: Студия — section 2 (шаги, drag-n-drop)</t>
        </is>
      </c>
      <c r="C63" s="6" t="inlineStr"/>
      <c r="D63" s="6" t="n">
        <v>2</v>
      </c>
      <c r="E63" s="6" t="inlineStr"/>
      <c r="F63" s="6" t="inlineStr"/>
      <c r="G63" s="6" t="inlineStr"/>
      <c r="H63" s="6" t="n">
        <v>2</v>
      </c>
      <c r="I63" s="3">
        <f>H63*Параметры!$B$2</f>
        <v/>
      </c>
    </row>
    <row r="64">
      <c r="A64" s="2" t="inlineStr">
        <is>
          <t>M07</t>
        </is>
      </c>
      <c r="B64" s="4" t="inlineStr">
        <is>
          <t>Frontend: Студия — section 3 (точки входа + EntryPointsSection)</t>
        </is>
      </c>
      <c r="C64" s="6" t="inlineStr"/>
      <c r="D64" s="6" t="n">
        <v>1</v>
      </c>
      <c r="E64" s="6" t="inlineStr"/>
      <c r="F64" s="6" t="inlineStr"/>
      <c r="G64" s="6" t="inlineStr"/>
      <c r="H64" s="6" t="n">
        <v>1</v>
      </c>
      <c r="I64" s="3">
        <f>H64*Параметры!$B$2</f>
        <v/>
      </c>
    </row>
    <row r="65">
      <c r="A65" s="2" t="inlineStr">
        <is>
          <t>M07</t>
        </is>
      </c>
      <c r="B65" s="4" t="inlineStr">
        <is>
          <t>Frontend: Студия — section 4 (запуск + warnings)</t>
        </is>
      </c>
      <c r="C65" s="6" t="inlineStr"/>
      <c r="D65" s="6" t="n">
        <v>1</v>
      </c>
      <c r="E65" s="6" t="inlineStr"/>
      <c r="F65" s="6" t="inlineStr"/>
      <c r="G65" s="6" t="inlineStr"/>
      <c r="H65" s="6" t="n">
        <v>1</v>
      </c>
      <c r="I65" s="3">
        <f>H65*Параметры!$B$2</f>
        <v/>
      </c>
    </row>
    <row r="66">
      <c r="A66" s="2" t="inlineStr">
        <is>
          <t>M07</t>
        </is>
      </c>
      <c r="B66" s="4" t="inlineStr">
        <is>
          <t>Frontend: компонент RichTextEditor (тулбар, хоткеи, undo)</t>
        </is>
      </c>
      <c r="C66" s="6" t="inlineStr"/>
      <c r="D66" s="6" t="n">
        <v>2</v>
      </c>
      <c r="E66" s="6" t="inlineStr"/>
      <c r="F66" s="6" t="inlineStr"/>
      <c r="G66" s="6" t="inlineStr"/>
      <c r="H66" s="6" t="n">
        <v>2</v>
      </c>
      <c r="I66" s="3">
        <f>H66*Параметры!$B$2</f>
        <v/>
      </c>
    </row>
    <row r="67">
      <c r="A67" s="2" t="inlineStr">
        <is>
          <t>M07</t>
        </is>
      </c>
      <c r="B67" s="4" t="inlineStr">
        <is>
          <t>Frontend: компонент TelegramPreview (HTML-whitelist, рендер)</t>
        </is>
      </c>
      <c r="C67" s="6" t="inlineStr"/>
      <c r="D67" s="6" t="n">
        <v>1</v>
      </c>
      <c r="E67" s="6" t="inlineStr"/>
      <c r="F67" s="6" t="inlineStr"/>
      <c r="G67" s="6" t="inlineStr"/>
      <c r="H67" s="6" t="n">
        <v>1</v>
      </c>
      <c r="I67" s="3">
        <f>H67*Параметры!$B$2</f>
        <v/>
      </c>
    </row>
    <row r="68">
      <c r="A68" s="2" t="inlineStr">
        <is>
          <t>M07</t>
        </is>
      </c>
      <c r="B68" s="4" t="inlineStr">
        <is>
          <t>Frontend: ObservableTestPanel + SSE</t>
        </is>
      </c>
      <c r="C68" s="6" t="inlineStr"/>
      <c r="D68" s="6" t="n">
        <v>1</v>
      </c>
      <c r="E68" s="6" t="inlineStr"/>
      <c r="F68" s="6" t="inlineStr"/>
      <c r="G68" s="6" t="inlineStr"/>
      <c r="H68" s="6" t="n">
        <v>1</v>
      </c>
      <c r="I68" s="3">
        <f>H68*Параметры!$B$2</f>
        <v/>
      </c>
    </row>
    <row r="69">
      <c r="A69" s="2" t="inlineStr">
        <is>
          <t>M07</t>
        </is>
      </c>
      <c r="B69" s="4" t="inlineStr">
        <is>
          <t>Frontend: SafetyWarning + ActiveFunnelConfirm</t>
        </is>
      </c>
      <c r="C69" s="6" t="inlineStr"/>
      <c r="D69" s="6" t="n">
        <v>1</v>
      </c>
      <c r="E69" s="6" t="inlineStr"/>
      <c r="F69" s="6" t="inlineStr"/>
      <c r="G69" s="6" t="inlineStr"/>
      <c r="H69" s="6" t="n">
        <v>1</v>
      </c>
      <c r="I69" s="3">
        <f>H69*Параметры!$B$2</f>
        <v/>
      </c>
    </row>
    <row r="70">
      <c r="A70" s="2" t="inlineStr">
        <is>
          <t>M07</t>
        </is>
      </c>
      <c r="B70" s="4" t="inlineStr">
        <is>
          <t>Frontend: ButtonsEditor</t>
        </is>
      </c>
      <c r="C70" s="6" t="inlineStr"/>
      <c r="D70" s="6" t="n">
        <v>1</v>
      </c>
      <c r="E70" s="6" t="inlineStr"/>
      <c r="F70" s="6" t="inlineStr"/>
      <c r="G70" s="6" t="inlineStr"/>
      <c r="H70" s="6" t="n">
        <v>1</v>
      </c>
      <c r="I70" s="3">
        <f>H70*Параметры!$B$2</f>
        <v/>
      </c>
    </row>
    <row r="71">
      <c r="A71" s="2" t="inlineStr">
        <is>
          <t>M07</t>
        </is>
      </c>
      <c r="B71" s="4" t="inlineStr">
        <is>
          <t>Frontend: FunnelWizard (4-шаговый диалог)</t>
        </is>
      </c>
      <c r="C71" s="6" t="inlineStr"/>
      <c r="D71" s="6" t="n">
        <v>1</v>
      </c>
      <c r="E71" s="6" t="inlineStr"/>
      <c r="F71" s="6" t="inlineStr"/>
      <c r="G71" s="6" t="inlineStr"/>
      <c r="H71" s="6" t="n">
        <v>1</v>
      </c>
      <c r="I71" s="3">
        <f>H71*Параметры!$B$2</f>
        <v/>
      </c>
    </row>
    <row r="72">
      <c r="A72" s="2" t="inlineStr">
        <is>
          <t>M07</t>
        </is>
      </c>
      <c r="B72" s="4" t="inlineStr">
        <is>
          <t>Дизайн: Студия — флагманский UX, 4 секции, превью, drag-n-drop</t>
        </is>
      </c>
      <c r="C72" s="6" t="inlineStr"/>
      <c r="D72" s="6" t="inlineStr"/>
      <c r="E72" s="6" t="n">
        <v>8</v>
      </c>
      <c r="F72" s="6" t="inlineStr"/>
      <c r="G72" s="6" t="inlineStr"/>
      <c r="H72" s="6" t="n">
        <v>8</v>
      </c>
      <c r="I72" s="3">
        <f>H72*Параметры!$B$2</f>
        <v/>
      </c>
    </row>
    <row r="73">
      <c r="A73" s="2" t="inlineStr">
        <is>
          <t>M07</t>
        </is>
      </c>
      <c r="B73" s="4" t="inlineStr">
        <is>
          <t>Дизайн: UX-сценарии правки и тестирования</t>
        </is>
      </c>
      <c r="C73" s="6" t="inlineStr"/>
      <c r="D73" s="6" t="inlineStr"/>
      <c r="E73" s="6" t="n">
        <v>1</v>
      </c>
      <c r="F73" s="6" t="inlineStr"/>
      <c r="G73" s="6" t="inlineStr"/>
      <c r="H73" s="6" t="n">
        <v>1</v>
      </c>
      <c r="I73" s="3">
        <f>H73*Параметры!$B$2</f>
        <v/>
      </c>
    </row>
    <row r="74">
      <c r="A74" s="11" t="inlineStr"/>
      <c r="B74" s="11" t="inlineStr">
        <is>
          <t>Итого M07</t>
        </is>
      </c>
      <c r="C74" s="12" t="n">
        <v>5</v>
      </c>
      <c r="D74" s="12" t="n">
        <v>12</v>
      </c>
      <c r="E74" s="12" t="n">
        <v>9</v>
      </c>
      <c r="F74" s="12" t="n">
        <v>0</v>
      </c>
      <c r="G74" s="12" t="n">
        <v>2</v>
      </c>
      <c r="H74" s="12" t="n">
        <v>28</v>
      </c>
      <c r="I74" s="13">
        <f>H74*Параметры!$B$2</f>
        <v/>
      </c>
    </row>
    <row r="75">
      <c r="A75" s="10" t="inlineStr">
        <is>
          <t>M08. Лидмагниты</t>
        </is>
      </c>
    </row>
    <row r="76">
      <c r="A76" s="2" t="inlineStr">
        <is>
          <t>M08</t>
        </is>
      </c>
      <c r="B76" s="4" t="inlineStr">
        <is>
          <t>Backend: модель LeadMagnet + миграция</t>
        </is>
      </c>
      <c r="C76" s="6" t="inlineStr"/>
      <c r="D76" s="6" t="inlineStr"/>
      <c r="E76" s="6" t="inlineStr"/>
      <c r="F76" s="6" t="inlineStr"/>
      <c r="G76" s="6" t="inlineStr"/>
      <c r="H76" s="6" t="n">
        <v>0</v>
      </c>
      <c r="I76" s="3">
        <f>H76*Параметры!$B$2</f>
        <v/>
      </c>
    </row>
    <row r="77">
      <c r="A77" s="2" t="inlineStr">
        <is>
          <t>M08</t>
        </is>
      </c>
      <c r="B77" s="4" t="inlineStr">
        <is>
          <t>Backend: сервис LeadMagnetsService (upload, send, type-detect)</t>
        </is>
      </c>
      <c r="C77" s="6" t="n">
        <v>1</v>
      </c>
      <c r="D77" s="6" t="inlineStr"/>
      <c r="E77" s="6" t="inlineStr"/>
      <c r="F77" s="6" t="inlineStr"/>
      <c r="G77" s="6" t="inlineStr"/>
      <c r="H77" s="6" t="n">
        <v>1</v>
      </c>
      <c r="I77" s="3">
        <f>H77*Параметры!$B$2</f>
        <v/>
      </c>
    </row>
    <row r="78">
      <c r="A78" s="2" t="inlineStr">
        <is>
          <t>M08</t>
        </is>
      </c>
      <c r="B78" s="4" t="inlineStr">
        <is>
          <t>Backend API /lead-magnets (CRUD + upload)</t>
        </is>
      </c>
      <c r="C78" s="6" t="n">
        <v>1</v>
      </c>
      <c r="D78" s="6" t="inlineStr"/>
      <c r="E78" s="6" t="inlineStr"/>
      <c r="F78" s="6" t="inlineStr"/>
      <c r="G78" s="6" t="inlineStr"/>
      <c r="H78" s="6" t="n">
        <v>1</v>
      </c>
      <c r="I78" s="3">
        <f>H78*Параметры!$B$2</f>
        <v/>
      </c>
    </row>
    <row r="79">
      <c r="A79" s="2" t="inlineStr">
        <is>
          <t>M08</t>
        </is>
      </c>
      <c r="B79" s="4" t="inlineStr">
        <is>
          <t>Frontend: /lead-magnets таблица</t>
        </is>
      </c>
      <c r="C79" s="6" t="inlineStr"/>
      <c r="D79" s="6" t="n">
        <v>1</v>
      </c>
      <c r="E79" s="6" t="inlineStr"/>
      <c r="F79" s="6" t="inlineStr"/>
      <c r="G79" s="6" t="inlineStr"/>
      <c r="H79" s="6" t="n">
        <v>1</v>
      </c>
      <c r="I79" s="3">
        <f>H79*Параметры!$B$2</f>
        <v/>
      </c>
    </row>
    <row r="80">
      <c r="A80" s="2" t="inlineStr">
        <is>
          <t>M08</t>
        </is>
      </c>
      <c r="B80" s="4" t="inlineStr">
        <is>
          <t>Frontend: QuickLeadMagnetUpload (drag-n-drop + прогресс)</t>
        </is>
      </c>
      <c r="C80" s="6" t="inlineStr"/>
      <c r="D80" s="6" t="n">
        <v>1</v>
      </c>
      <c r="E80" s="6" t="inlineStr"/>
      <c r="F80" s="6" t="inlineStr"/>
      <c r="G80" s="6" t="inlineStr"/>
      <c r="H80" s="6" t="n">
        <v>1</v>
      </c>
      <c r="I80" s="3">
        <f>H80*Параметры!$B$2</f>
        <v/>
      </c>
    </row>
    <row r="81">
      <c r="A81" s="2" t="inlineStr">
        <is>
          <t>M08</t>
        </is>
      </c>
      <c r="B81" s="4" t="inlineStr">
        <is>
          <t>Дизайн: drop-zone, preview, типы файлов</t>
        </is>
      </c>
      <c r="C81" s="6" t="inlineStr"/>
      <c r="D81" s="6" t="inlineStr"/>
      <c r="E81" s="6" t="n">
        <v>1</v>
      </c>
      <c r="F81" s="6" t="inlineStr"/>
      <c r="G81" s="6" t="inlineStr"/>
      <c r="H81" s="6" t="n">
        <v>1</v>
      </c>
      <c r="I81" s="3">
        <f>H81*Параметры!$B$2</f>
        <v/>
      </c>
    </row>
    <row r="82">
      <c r="A82" s="11" t="inlineStr"/>
      <c r="B82" s="11" t="inlineStr">
        <is>
          <t>Итого M08</t>
        </is>
      </c>
      <c r="C82" s="12" t="n">
        <v>2</v>
      </c>
      <c r="D82" s="12" t="n">
        <v>2</v>
      </c>
      <c r="E82" s="12" t="n">
        <v>1</v>
      </c>
      <c r="F82" s="12" t="n">
        <v>0</v>
      </c>
      <c r="G82" s="12" t="n">
        <v>0</v>
      </c>
      <c r="H82" s="12" t="n">
        <v>5</v>
      </c>
      <c r="I82" s="13">
        <f>H82*Параметры!$B$2</f>
        <v/>
      </c>
    </row>
    <row r="83">
      <c r="A83" s="10" t="inlineStr">
        <is>
          <t>M09. Точки входа: tracking-ссылки и кодовые слова</t>
        </is>
      </c>
    </row>
    <row r="84">
      <c r="A84" s="2" t="inlineStr">
        <is>
          <t>M09</t>
        </is>
      </c>
      <c r="B84" s="4" t="inlineStr">
        <is>
          <t>Backend: модели TrackingLink + FunnelTrigger + миграции (unique index)</t>
        </is>
      </c>
      <c r="C84" s="6" t="n">
        <v>3</v>
      </c>
      <c r="D84" s="6" t="inlineStr"/>
      <c r="E84" s="6" t="inlineStr"/>
      <c r="F84" s="6" t="inlineStr"/>
      <c r="G84" s="6" t="inlineStr"/>
      <c r="H84" s="6" t="n">
        <v>3</v>
      </c>
      <c r="I84" s="3">
        <f>H84*Параметры!$B$2</f>
        <v/>
      </c>
    </row>
    <row r="85">
      <c r="A85" s="2" t="inlineStr">
        <is>
          <t>M09</t>
        </is>
      </c>
      <c r="B85" s="4" t="inlineStr">
        <is>
          <t>Backend: сервис TrackingLinksService (slug-gen, collision-check)</t>
        </is>
      </c>
      <c r="C85" s="6" t="n">
        <v>1</v>
      </c>
      <c r="D85" s="6" t="inlineStr"/>
      <c r="E85" s="6" t="inlineStr"/>
      <c r="F85" s="6" t="inlineStr"/>
      <c r="G85" s="6" t="inlineStr"/>
      <c r="H85" s="6" t="n">
        <v>1</v>
      </c>
      <c r="I85" s="3">
        <f>H85*Параметры!$B$2</f>
        <v/>
      </c>
    </row>
    <row r="86">
      <c r="A86" s="2" t="inlineStr">
        <is>
          <t>M09</t>
        </is>
      </c>
      <c r="B86" s="4" t="inlineStr">
        <is>
          <t>Backend: сервис FunnelTriggersService (case-insensitive)</t>
        </is>
      </c>
      <c r="C86" s="6" t="inlineStr"/>
      <c r="D86" s="6" t="inlineStr"/>
      <c r="E86" s="6" t="inlineStr"/>
      <c r="F86" s="6" t="inlineStr"/>
      <c r="G86" s="6" t="inlineStr"/>
      <c r="H86" s="6" t="n">
        <v>0</v>
      </c>
      <c r="I86" s="3">
        <f>H86*Параметры!$B$2</f>
        <v/>
      </c>
    </row>
    <row r="87">
      <c r="A87" s="2" t="inlineStr">
        <is>
          <t>M09</t>
        </is>
      </c>
      <c r="B87" s="4" t="inlineStr">
        <is>
          <t>Backend API /tracking-links + /funnel-triggers</t>
        </is>
      </c>
      <c r="C87" s="6" t="n">
        <v>1</v>
      </c>
      <c r="D87" s="6" t="inlineStr"/>
      <c r="E87" s="6" t="inlineStr"/>
      <c r="F87" s="6" t="inlineStr"/>
      <c r="G87" s="6" t="inlineStr"/>
      <c r="H87" s="6" t="n">
        <v>1</v>
      </c>
      <c r="I87" s="3">
        <f>H87*Параметры!$B$2</f>
        <v/>
      </c>
    </row>
    <row r="88">
      <c r="A88" s="2" t="inlineStr">
        <is>
          <t>M09</t>
        </is>
      </c>
      <c r="B88" s="4" t="inlineStr">
        <is>
          <t>Backend: интеграция click_count / unique_users в боте</t>
        </is>
      </c>
      <c r="C88" s="6" t="inlineStr"/>
      <c r="D88" s="6" t="inlineStr"/>
      <c r="E88" s="6" t="inlineStr"/>
      <c r="F88" s="6" t="inlineStr"/>
      <c r="G88" s="6" t="inlineStr"/>
      <c r="H88" s="6" t="n">
        <v>0</v>
      </c>
      <c r="I88" s="3">
        <f>H88*Параметры!$B$2</f>
        <v/>
      </c>
    </row>
    <row r="89">
      <c r="A89" s="2" t="inlineStr">
        <is>
          <t>M09</t>
        </is>
      </c>
      <c r="B89" s="4" t="inlineStr">
        <is>
          <t>Frontend: блок «Точки входа» в Студии + копирование с тостом</t>
        </is>
      </c>
      <c r="C89" s="6" t="inlineStr"/>
      <c r="D89" s="6" t="n">
        <v>1</v>
      </c>
      <c r="E89" s="6" t="inlineStr"/>
      <c r="F89" s="6" t="inlineStr"/>
      <c r="G89" s="6" t="inlineStr"/>
      <c r="H89" s="6" t="n">
        <v>1</v>
      </c>
      <c r="I89" s="3">
        <f>H89*Параметры!$B$2</f>
        <v/>
      </c>
    </row>
    <row r="90">
      <c r="A90" s="2" t="inlineStr">
        <is>
          <t>M09</t>
        </is>
      </c>
      <c r="B90" s="4" t="inlineStr">
        <is>
          <t>Frontend: страница /funnel-triggers</t>
        </is>
      </c>
      <c r="C90" s="6" t="inlineStr"/>
      <c r="D90" s="6" t="n">
        <v>1</v>
      </c>
      <c r="E90" s="6" t="inlineStr"/>
      <c r="F90" s="6" t="inlineStr"/>
      <c r="G90" s="6" t="inlineStr"/>
      <c r="H90" s="6" t="n">
        <v>1</v>
      </c>
      <c r="I90" s="3">
        <f>H90*Параметры!$B$2</f>
        <v/>
      </c>
    </row>
    <row r="91">
      <c r="A91" s="2" t="inlineStr">
        <is>
          <t>M09</t>
        </is>
      </c>
      <c r="B91" s="4" t="inlineStr">
        <is>
          <t>Frontend: страница /products/[id] — ссылки на продукт</t>
        </is>
      </c>
      <c r="C91" s="6" t="inlineStr"/>
      <c r="D91" s="6" t="n">
        <v>1</v>
      </c>
      <c r="E91" s="6" t="inlineStr"/>
      <c r="F91" s="6" t="inlineStr"/>
      <c r="G91" s="6" t="inlineStr"/>
      <c r="H91" s="6" t="n">
        <v>1</v>
      </c>
      <c r="I91" s="3">
        <f>H91*Параметры!$B$2</f>
        <v/>
      </c>
    </row>
    <row r="92">
      <c r="A92" s="2" t="inlineStr">
        <is>
          <t>M09</t>
        </is>
      </c>
      <c r="B92" s="4" t="inlineStr">
        <is>
          <t>Дизайн: модалки создания ссылки, slug-preview</t>
        </is>
      </c>
      <c r="C92" s="6" t="inlineStr"/>
      <c r="D92" s="6" t="inlineStr"/>
      <c r="E92" s="6" t="n">
        <v>1</v>
      </c>
      <c r="F92" s="6" t="inlineStr"/>
      <c r="G92" s="6" t="inlineStr"/>
      <c r="H92" s="6" t="n">
        <v>1</v>
      </c>
      <c r="I92" s="3">
        <f>H92*Параметры!$B$2</f>
        <v/>
      </c>
    </row>
    <row r="93">
      <c r="A93" s="11" t="inlineStr"/>
      <c r="B93" s="11" t="inlineStr">
        <is>
          <t>Итого M09</t>
        </is>
      </c>
      <c r="C93" s="12" t="n">
        <v>5</v>
      </c>
      <c r="D93" s="12" t="n">
        <v>3</v>
      </c>
      <c r="E93" s="12" t="n">
        <v>1</v>
      </c>
      <c r="F93" s="12" t="n">
        <v>0</v>
      </c>
      <c r="G93" s="12" t="n">
        <v>0</v>
      </c>
      <c r="H93" s="12" t="n">
        <v>9</v>
      </c>
      <c r="I93" s="13">
        <f>H93*Параметры!$B$2</f>
        <v/>
      </c>
    </row>
    <row r="94">
      <c r="A94" s="10" t="inlineStr">
        <is>
          <t>M10. Аналитика и метрики</t>
        </is>
      </c>
    </row>
    <row r="95">
      <c r="A95" s="2" t="inlineStr">
        <is>
          <t>M10</t>
        </is>
      </c>
      <c r="B95" s="4" t="inlineStr">
        <is>
          <t>Backend: модель индексов под аналитику + миграция</t>
        </is>
      </c>
      <c r="C95" s="6" t="inlineStr"/>
      <c r="D95" s="6" t="inlineStr"/>
      <c r="E95" s="6" t="inlineStr"/>
      <c r="F95" s="6" t="inlineStr"/>
      <c r="G95" s="6" t="inlineStr"/>
      <c r="H95" s="6" t="n">
        <v>0</v>
      </c>
      <c r="I95" s="3">
        <f>H95*Параметры!$B$2</f>
        <v/>
      </c>
    </row>
    <row r="96">
      <c r="A96" s="2" t="inlineStr">
        <is>
          <t>M10</t>
        </is>
      </c>
      <c r="B96" s="4" t="inlineStr">
        <is>
          <t>Backend: /stats/overview (10+ COUNT/SUM)</t>
        </is>
      </c>
      <c r="C96" s="6" t="inlineStr"/>
      <c r="D96" s="6" t="inlineStr"/>
      <c r="E96" s="6" t="inlineStr"/>
      <c r="F96" s="6" t="inlineStr"/>
      <c r="G96" s="6" t="inlineStr"/>
      <c r="H96" s="6" t="n">
        <v>0</v>
      </c>
      <c r="I96" s="3">
        <f>H96*Параметры!$B$2</f>
        <v/>
      </c>
    </row>
    <row r="97">
      <c r="A97" s="2" t="inlineStr">
        <is>
          <t>M10</t>
        </is>
      </c>
      <c r="B97" s="4" t="inlineStr">
        <is>
          <t>Backend: /stats/health с warnings (8+ диагностик)</t>
        </is>
      </c>
      <c r="C97" s="6" t="n">
        <v>1</v>
      </c>
      <c r="D97" s="6" t="inlineStr"/>
      <c r="E97" s="6" t="inlineStr"/>
      <c r="F97" s="6" t="inlineStr"/>
      <c r="G97" s="6" t="inlineStr"/>
      <c r="H97" s="6" t="n">
        <v>1</v>
      </c>
      <c r="I97" s="3">
        <f>H97*Параметры!$B$2</f>
        <v/>
      </c>
    </row>
    <row r="98">
      <c r="A98" s="2" t="inlineStr">
        <is>
          <t>M10</t>
        </is>
      </c>
      <c r="B98" s="4" t="inlineStr">
        <is>
          <t>Backend: /stats/timeline (date_trunc, last/first-touch, dimensions)</t>
        </is>
      </c>
      <c r="C98" s="6" t="n">
        <v>1</v>
      </c>
      <c r="D98" s="6" t="inlineStr"/>
      <c r="E98" s="6" t="inlineStr"/>
      <c r="F98" s="6" t="inlineStr"/>
      <c r="G98" s="6" t="inlineStr"/>
      <c r="H98" s="6" t="n">
        <v>1</v>
      </c>
      <c r="I98" s="3">
        <f>H98*Параметры!$B$2</f>
        <v/>
      </c>
    </row>
    <row r="99">
      <c r="A99" s="2" t="inlineStr">
        <is>
          <t>M10</t>
        </is>
      </c>
      <c r="B99" s="4" t="inlineStr">
        <is>
          <t>Backend: /stats/funnels/summary (single-query JOIN, DISTINCT)</t>
        </is>
      </c>
      <c r="C99" s="6" t="n">
        <v>1</v>
      </c>
      <c r="D99" s="6" t="inlineStr"/>
      <c r="E99" s="6" t="inlineStr"/>
      <c r="F99" s="6" t="inlineStr"/>
      <c r="G99" s="6" t="inlineStr"/>
      <c r="H99" s="6" t="n">
        <v>1</v>
      </c>
      <c r="I99" s="3">
        <f>H99*Параметры!$B$2</f>
        <v/>
      </c>
    </row>
    <row r="100">
      <c r="A100" s="2" t="inlineStr">
        <is>
          <t>M10</t>
        </is>
      </c>
      <c r="B100" s="4" t="inlineStr">
        <is>
          <t>Backend: /stats/funnels/{id}/conversion (per-step метрики)</t>
        </is>
      </c>
      <c r="C100" s="6" t="n">
        <v>1</v>
      </c>
      <c r="D100" s="6" t="inlineStr"/>
      <c r="E100" s="6" t="inlineStr"/>
      <c r="F100" s="6" t="inlineStr"/>
      <c r="G100" s="6" t="inlineStr"/>
      <c r="H100" s="6" t="n">
        <v>1</v>
      </c>
      <c r="I100" s="3">
        <f>H100*Параметры!$B$2</f>
        <v/>
      </c>
    </row>
    <row r="101">
      <c r="A101" s="2" t="inlineStr">
        <is>
          <t>M10</t>
        </is>
      </c>
      <c r="B101" s="4" t="inlineStr">
        <is>
          <t>Backend: /sources (Pareto группировка)</t>
        </is>
      </c>
      <c r="C101" s="6" t="inlineStr"/>
      <c r="D101" s="6" t="inlineStr"/>
      <c r="E101" s="6" t="inlineStr"/>
      <c r="F101" s="6" t="inlineStr"/>
      <c r="G101" s="6" t="inlineStr"/>
      <c r="H101" s="6" t="n">
        <v>0</v>
      </c>
      <c r="I101" s="3">
        <f>H101*Параметры!$B$2</f>
        <v/>
      </c>
    </row>
    <row r="102">
      <c r="A102" s="2" t="inlineStr">
        <is>
          <t>M10</t>
        </is>
      </c>
      <c r="B102" s="4" t="inlineStr">
        <is>
          <t>Frontend: Dashboard / (4 KPI + recent + sidebar badges)</t>
        </is>
      </c>
      <c r="C102" s="6" t="inlineStr"/>
      <c r="D102" s="6" t="n">
        <v>1</v>
      </c>
      <c r="E102" s="6" t="inlineStr"/>
      <c r="F102" s="6" t="inlineStr"/>
      <c r="G102" s="6" t="inlineStr"/>
      <c r="H102" s="6" t="n">
        <v>1</v>
      </c>
      <c r="I102" s="3">
        <f>H102*Параметры!$B$2</f>
        <v/>
      </c>
    </row>
    <row r="103">
      <c r="A103" s="2" t="inlineStr">
        <is>
          <t>M10</t>
        </is>
      </c>
      <c r="B103" s="4" t="inlineStr">
        <is>
          <t>Frontend: /analytics (фильтры, recharts, KPI, Pareto, funnels)</t>
        </is>
      </c>
      <c r="C103" s="6" t="inlineStr"/>
      <c r="D103" s="6" t="n">
        <v>7</v>
      </c>
      <c r="E103" s="6" t="inlineStr"/>
      <c r="F103" s="6" t="inlineStr"/>
      <c r="G103" s="6" t="inlineStr"/>
      <c r="H103" s="6" t="n">
        <v>7</v>
      </c>
      <c r="I103" s="3">
        <f>H103*Параметры!$B$2</f>
        <v/>
      </c>
    </row>
    <row r="104">
      <c r="A104" s="2" t="inlineStr">
        <is>
          <t>M10</t>
        </is>
      </c>
      <c r="B104" s="4" t="inlineStr">
        <is>
          <t>Frontend: /sources (таблица с конверсиями)</t>
        </is>
      </c>
      <c r="C104" s="6" t="inlineStr"/>
      <c r="D104" s="6" t="n">
        <v>1</v>
      </c>
      <c r="E104" s="6" t="inlineStr"/>
      <c r="F104" s="6" t="inlineStr"/>
      <c r="G104" s="6" t="inlineStr"/>
      <c r="H104" s="6" t="n">
        <v>1</v>
      </c>
      <c r="I104" s="3">
        <f>H104*Параметры!$B$2</f>
        <v/>
      </c>
    </row>
    <row r="105">
      <c r="A105" s="2" t="inlineStr">
        <is>
          <t>M10</t>
        </is>
      </c>
      <c r="B105" s="4" t="inlineStr">
        <is>
          <t>Frontend: Health-блок с warnings и actions</t>
        </is>
      </c>
      <c r="C105" s="6" t="inlineStr"/>
      <c r="D105" s="6" t="n">
        <v>1</v>
      </c>
      <c r="E105" s="6" t="inlineStr"/>
      <c r="F105" s="6" t="inlineStr"/>
      <c r="G105" s="6" t="inlineStr"/>
      <c r="H105" s="6" t="n">
        <v>1</v>
      </c>
      <c r="I105" s="3">
        <f>H105*Параметры!$B$2</f>
        <v/>
      </c>
    </row>
    <row r="106">
      <c r="A106" s="2" t="inlineStr">
        <is>
          <t>M10</t>
        </is>
      </c>
      <c r="B106" s="4" t="inlineStr">
        <is>
          <t>Frontend: a11y (aria-pressed, aria-live, aria-label на chart)</t>
        </is>
      </c>
      <c r="C106" s="6" t="inlineStr"/>
      <c r="D106" s="6" t="inlineStr"/>
      <c r="E106" s="6" t="inlineStr"/>
      <c r="F106" s="6" t="inlineStr"/>
      <c r="G106" s="6" t="inlineStr"/>
      <c r="H106" s="6" t="n">
        <v>0</v>
      </c>
      <c r="I106" s="3">
        <f>H106*Параметры!$B$2</f>
        <v/>
      </c>
    </row>
    <row r="107">
      <c r="A107" s="2" t="inlineStr">
        <is>
          <t>M10</t>
        </is>
      </c>
      <c r="B107" s="4" t="inlineStr">
        <is>
          <t>Дизайн: KPI карточки, графики, фильтры, таблицы</t>
        </is>
      </c>
      <c r="C107" s="6" t="inlineStr"/>
      <c r="D107" s="6" t="inlineStr"/>
      <c r="E107" s="6" t="n">
        <v>2</v>
      </c>
      <c r="F107" s="6" t="inlineStr"/>
      <c r="G107" s="6" t="inlineStr"/>
      <c r="H107" s="6" t="n">
        <v>2</v>
      </c>
      <c r="I107" s="3">
        <f>H107*Параметры!$B$2</f>
        <v/>
      </c>
    </row>
    <row r="108">
      <c r="A108" s="11" t="inlineStr"/>
      <c r="B108" s="11" t="inlineStr">
        <is>
          <t>Итого M10</t>
        </is>
      </c>
      <c r="C108" s="12" t="n">
        <v>4</v>
      </c>
      <c r="D108" s="12" t="n">
        <v>10</v>
      </c>
      <c r="E108" s="12" t="n">
        <v>2</v>
      </c>
      <c r="F108" s="12" t="n">
        <v>0</v>
      </c>
      <c r="G108" s="12" t="n">
        <v>0</v>
      </c>
      <c r="H108" s="12" t="n">
        <v>16</v>
      </c>
      <c r="I108" s="13">
        <f>H108*Параметры!$B$2</f>
        <v/>
      </c>
    </row>
    <row r="109">
      <c r="A109" s="10" t="inlineStr">
        <is>
          <t>M11. Telegram-бот (aiogram, multi-bot)</t>
        </is>
      </c>
    </row>
    <row r="110">
      <c r="A110" s="2" t="inlineStr">
        <is>
          <t>M11</t>
        </is>
      </c>
      <c r="B110" s="4" t="inlineStr">
        <is>
          <t>Backend: BotManager (start, sync, stop, crash-detect)</t>
        </is>
      </c>
      <c r="C110" s="6" t="n">
        <v>2</v>
      </c>
      <c r="D110" s="6" t="inlineStr"/>
      <c r="E110" s="6" t="inlineStr"/>
      <c r="F110" s="6" t="inlineStr"/>
      <c r="G110" s="6" t="n">
        <v>1</v>
      </c>
      <c r="H110" s="6" t="n">
        <v>3</v>
      </c>
      <c r="I110" s="3">
        <f>H110*Параметры!$B$2</f>
        <v/>
      </c>
    </row>
    <row r="111">
      <c r="A111" s="2" t="inlineStr">
        <is>
          <t>M11</t>
        </is>
      </c>
      <c r="B111" s="4" t="inlineStr">
        <is>
          <t>Backend: command handlers (/start с deep-link, /help, /my)</t>
        </is>
      </c>
      <c r="C111" s="6" t="n">
        <v>2</v>
      </c>
      <c r="D111" s="6" t="inlineStr"/>
      <c r="E111" s="6" t="inlineStr"/>
      <c r="F111" s="6" t="inlineStr"/>
      <c r="G111" s="6" t="n">
        <v>1</v>
      </c>
      <c r="H111" s="6" t="n">
        <v>3</v>
      </c>
      <c r="I111" s="3">
        <f>H111*Параметры!$B$2</f>
        <v/>
      </c>
    </row>
    <row r="112">
      <c r="A112" s="2" t="inlineStr">
        <is>
          <t>M11</t>
        </is>
      </c>
      <c r="B112" s="4" t="inlineStr">
        <is>
          <t>Backend: callback handlers (prod, lead, unsubscribe)</t>
        </is>
      </c>
      <c r="C112" s="6" t="n">
        <v>1</v>
      </c>
      <c r="D112" s="6" t="inlineStr"/>
      <c r="E112" s="6" t="inlineStr"/>
      <c r="F112" s="6" t="inlineStr"/>
      <c r="G112" s="6" t="n">
        <v>1</v>
      </c>
      <c r="H112" s="6" t="n">
        <v>2</v>
      </c>
      <c r="I112" s="3">
        <f>H112*Параметры!$B$2</f>
        <v/>
      </c>
    </row>
    <row r="113">
      <c r="A113" s="2" t="inlineStr">
        <is>
          <t>M11</t>
        </is>
      </c>
      <c r="B113" s="4" t="inlineStr">
        <is>
          <t>Backend: текстовые сообщения → trigger lookup</t>
        </is>
      </c>
      <c r="C113" s="6" t="n">
        <v>1</v>
      </c>
      <c r="D113" s="6" t="inlineStr"/>
      <c r="E113" s="6" t="inlineStr"/>
      <c r="F113" s="6" t="inlineStr"/>
      <c r="G113" s="6" t="inlineStr"/>
      <c r="H113" s="6" t="n">
        <v>1</v>
      </c>
      <c r="I113" s="3">
        <f>H113*Параметры!$B$2</f>
        <v/>
      </c>
    </row>
    <row r="114">
      <c r="A114" s="2" t="inlineStr">
        <is>
          <t>M11</t>
        </is>
      </c>
      <c r="B114" s="4" t="inlineStr">
        <is>
          <t>Backend: utility telegram.py (sendMessageSafe, invite, kick)</t>
        </is>
      </c>
      <c r="C114" s="6" t="n">
        <v>1</v>
      </c>
      <c r="D114" s="6" t="inlineStr"/>
      <c r="E114" s="6" t="inlineStr"/>
      <c r="F114" s="6" t="inlineStr"/>
      <c r="G114" s="6" t="inlineStr"/>
      <c r="H114" s="6" t="n">
        <v>1</v>
      </c>
      <c r="I114" s="3">
        <f>H114*Параметры!$B$2</f>
        <v/>
      </c>
    </row>
    <row r="115">
      <c r="A115" s="2" t="inlineStr">
        <is>
          <t>M11</t>
        </is>
      </c>
      <c r="B115" s="4" t="inlineStr">
        <is>
          <t>Backend: тексты бота (RU)</t>
        </is>
      </c>
      <c r="C115" s="6" t="inlineStr"/>
      <c r="D115" s="6" t="inlineStr"/>
      <c r="E115" s="6" t="inlineStr"/>
      <c r="F115" s="6" t="inlineStr"/>
      <c r="G115" s="6" t="inlineStr"/>
      <c r="H115" s="6" t="n">
        <v>0</v>
      </c>
      <c r="I115" s="3">
        <f>H115*Параметры!$B$2</f>
        <v/>
      </c>
    </row>
    <row r="116">
      <c r="A116" s="2" t="inlineStr">
        <is>
          <t>M11</t>
        </is>
      </c>
      <c r="B116" s="4" t="inlineStr">
        <is>
          <t>Дизайн: тон голоса, эмодзи, кнопки в боте</t>
        </is>
      </c>
      <c r="C116" s="6" t="inlineStr"/>
      <c r="D116" s="6" t="inlineStr"/>
      <c r="E116" s="6" t="n">
        <v>1</v>
      </c>
      <c r="F116" s="6" t="inlineStr"/>
      <c r="G116" s="6" t="inlineStr"/>
      <c r="H116" s="6" t="n">
        <v>1</v>
      </c>
      <c r="I116" s="3">
        <f>H116*Параметры!$B$2</f>
        <v/>
      </c>
    </row>
    <row r="117">
      <c r="A117" s="11" t="inlineStr"/>
      <c r="B117" s="11" t="inlineStr">
        <is>
          <t>Итого M11</t>
        </is>
      </c>
      <c r="C117" s="12" t="n">
        <v>7</v>
      </c>
      <c r="D117" s="12" t="n">
        <v>0</v>
      </c>
      <c r="E117" s="12" t="n">
        <v>1</v>
      </c>
      <c r="F117" s="12" t="n">
        <v>0</v>
      </c>
      <c r="G117" s="12" t="n">
        <v>3</v>
      </c>
      <c r="H117" s="12" t="n">
        <v>11</v>
      </c>
      <c r="I117" s="13">
        <f>H117*Параметры!$B$2</f>
        <v/>
      </c>
    </row>
    <row r="118">
      <c r="A118" s="10" t="inlineStr">
        <is>
          <t>M12. Админ-панель UI/UX (база)</t>
        </is>
      </c>
    </row>
    <row r="119">
      <c r="A119" s="2" t="inlineStr">
        <is>
          <t>M12</t>
        </is>
      </c>
      <c r="B119" s="4" t="inlineStr">
        <is>
          <t>Frontend: UI-библиотека (Button/Input/Select/Field/Card/Sheet/Pill/Empty/Table)</t>
        </is>
      </c>
      <c r="C119" s="6" t="inlineStr"/>
      <c r="D119" s="6" t="n">
        <v>2</v>
      </c>
      <c r="E119" s="6" t="inlineStr"/>
      <c r="F119" s="6" t="inlineStr"/>
      <c r="G119" s="6" t="n">
        <v>1</v>
      </c>
      <c r="H119" s="6" t="n">
        <v>3</v>
      </c>
      <c r="I119" s="3">
        <f>H119*Параметры!$B$2</f>
        <v/>
      </c>
    </row>
    <row r="120">
      <c r="A120" s="2" t="inlineStr">
        <is>
          <t>M12</t>
        </is>
      </c>
      <c r="B120" s="4" t="inlineStr">
        <is>
          <t>Frontend: Sidebar v2 (группы, collapsible, badges, mobile)</t>
        </is>
      </c>
      <c r="C120" s="6" t="inlineStr"/>
      <c r="D120" s="6" t="n">
        <v>2</v>
      </c>
      <c r="E120" s="6" t="inlineStr"/>
      <c r="F120" s="6" t="inlineStr"/>
      <c r="G120" s="6" t="inlineStr"/>
      <c r="H120" s="6" t="n">
        <v>2</v>
      </c>
      <c r="I120" s="3">
        <f>H120*Параметры!$B$2</f>
        <v/>
      </c>
    </row>
    <row r="121">
      <c r="A121" s="2" t="inlineStr">
        <is>
          <t>M12</t>
        </is>
      </c>
      <c r="B121" s="4" t="inlineStr">
        <is>
          <t>Frontend: Breadcrumbs с динамической мапой названий</t>
        </is>
      </c>
      <c r="C121" s="6" t="inlineStr"/>
      <c r="D121" s="6" t="n">
        <v>1</v>
      </c>
      <c r="E121" s="6" t="inlineStr"/>
      <c r="F121" s="6" t="inlineStr"/>
      <c r="G121" s="6" t="inlineStr"/>
      <c r="H121" s="6" t="n">
        <v>1</v>
      </c>
      <c r="I121" s="3">
        <f>H121*Параметры!$B$2</f>
        <v/>
      </c>
    </row>
    <row r="122">
      <c r="A122" s="2" t="inlineStr">
        <is>
          <t>M12</t>
        </is>
      </c>
      <c r="B122" s="4" t="inlineStr">
        <is>
          <t>Frontend: ToastProvider (Context, auto-dismiss, aria-live)</t>
        </is>
      </c>
      <c r="C122" s="6" t="inlineStr"/>
      <c r="D122" s="6" t="n">
        <v>1</v>
      </c>
      <c r="E122" s="6" t="inlineStr"/>
      <c r="F122" s="6" t="inlineStr"/>
      <c r="G122" s="6" t="inlineStr"/>
      <c r="H122" s="6" t="n">
        <v>1</v>
      </c>
      <c r="I122" s="3">
        <f>H122*Параметры!$B$2</f>
        <v/>
      </c>
    </row>
    <row r="123">
      <c r="A123" s="2" t="inlineStr">
        <is>
          <t>M12</t>
        </is>
      </c>
      <c r="B123" s="4" t="inlineStr">
        <is>
          <t>Frontend: globals.css (glass utilities, animations, blob-фон)</t>
        </is>
      </c>
      <c r="C123" s="6" t="inlineStr"/>
      <c r="D123" s="6" t="n">
        <v>1</v>
      </c>
      <c r="E123" s="6" t="inlineStr"/>
      <c r="F123" s="6" t="inlineStr"/>
      <c r="G123" s="6" t="inlineStr"/>
      <c r="H123" s="6" t="n">
        <v>1</v>
      </c>
      <c r="I123" s="3">
        <f>H123*Параметры!$B$2</f>
        <v/>
      </c>
    </row>
    <row r="124">
      <c r="A124" s="2" t="inlineStr">
        <is>
          <t>M12</t>
        </is>
      </c>
      <c r="B124" s="4" t="inlineStr">
        <is>
          <t>Frontend: Mobile-адаптация (бургер, sticky sidebar, breakpoints)</t>
        </is>
      </c>
      <c r="C124" s="6" t="inlineStr"/>
      <c r="D124" s="6" t="n">
        <v>1</v>
      </c>
      <c r="E124" s="6" t="inlineStr"/>
      <c r="F124" s="6" t="inlineStr"/>
      <c r="G124" s="6" t="inlineStr"/>
      <c r="H124" s="6" t="n">
        <v>1</v>
      </c>
      <c r="I124" s="3">
        <f>H124*Параметры!$B$2</f>
        <v/>
      </c>
    </row>
    <row r="125">
      <c r="A125" s="2" t="inlineStr">
        <is>
          <t>M12</t>
        </is>
      </c>
      <c r="B125" s="4" t="inlineStr">
        <is>
          <t>Дизайн: дизайн-система (цвета, шрифты, тени, отступы, иконки)</t>
        </is>
      </c>
      <c r="C125" s="6" t="inlineStr"/>
      <c r="D125" s="6" t="inlineStr"/>
      <c r="E125" s="6" t="n">
        <v>2</v>
      </c>
      <c r="F125" s="6" t="inlineStr"/>
      <c r="G125" s="6" t="inlineStr"/>
      <c r="H125" s="6" t="n">
        <v>2</v>
      </c>
      <c r="I125" s="3">
        <f>H125*Параметры!$B$2</f>
        <v/>
      </c>
    </row>
    <row r="126">
      <c r="A126" s="2" t="inlineStr">
        <is>
          <t>M12</t>
        </is>
      </c>
      <c r="B126" s="4" t="inlineStr">
        <is>
          <t>Дизайн: Sidebar v2 (структура групп, badge-логика)</t>
        </is>
      </c>
      <c r="C126" s="6" t="inlineStr"/>
      <c r="D126" s="6" t="inlineStr"/>
      <c r="E126" s="6" t="n">
        <v>1</v>
      </c>
      <c r="F126" s="6" t="inlineStr"/>
      <c r="G126" s="6" t="inlineStr"/>
      <c r="H126" s="6" t="n">
        <v>1</v>
      </c>
      <c r="I126" s="3">
        <f>H126*Параметры!$B$2</f>
        <v/>
      </c>
    </row>
    <row r="127">
      <c r="A127" s="2" t="inlineStr">
        <is>
          <t>M12</t>
        </is>
      </c>
      <c r="B127" s="4" t="inlineStr">
        <is>
          <t>Дизайн: glass-стиль, gradients, micro-animations</t>
        </is>
      </c>
      <c r="C127" s="6" t="inlineStr"/>
      <c r="D127" s="6" t="inlineStr"/>
      <c r="E127" s="6" t="n">
        <v>1</v>
      </c>
      <c r="F127" s="6" t="inlineStr"/>
      <c r="G127" s="6" t="inlineStr"/>
      <c r="H127" s="6" t="n">
        <v>1</v>
      </c>
      <c r="I127" s="3">
        <f>H127*Параметры!$B$2</f>
        <v/>
      </c>
    </row>
    <row r="128">
      <c r="A128" s="11" t="inlineStr"/>
      <c r="B128" s="11" t="inlineStr">
        <is>
          <t>Итого M12</t>
        </is>
      </c>
      <c r="C128" s="12" t="n">
        <v>0</v>
      </c>
      <c r="D128" s="12" t="n">
        <v>8</v>
      </c>
      <c r="E128" s="12" t="n">
        <v>4</v>
      </c>
      <c r="F128" s="12" t="n">
        <v>0</v>
      </c>
      <c r="G128" s="12" t="n">
        <v>1</v>
      </c>
      <c r="H128" s="12" t="n">
        <v>13</v>
      </c>
      <c r="I128" s="13">
        <f>H128*Параметры!$B$2</f>
        <v/>
      </c>
    </row>
    <row r="129">
      <c r="A129" s="10" t="inlineStr">
        <is>
          <t>M13. Брендинг и SEO</t>
        </is>
      </c>
    </row>
    <row r="130">
      <c r="A130" s="2" t="inlineStr">
        <is>
          <t>M13</t>
        </is>
      </c>
      <c r="B130" s="4" t="inlineStr">
        <is>
          <t>Frontend: app/icon.svg (виниловая пластинка)</t>
        </is>
      </c>
      <c r="C130" s="6" t="inlineStr"/>
      <c r="D130" s="6" t="inlineStr"/>
      <c r="E130" s="6" t="inlineStr"/>
      <c r="F130" s="6" t="inlineStr"/>
      <c r="G130" s="6" t="inlineStr"/>
      <c r="H130" s="6" t="n">
        <v>0</v>
      </c>
      <c r="I130" s="3">
        <f>H130*Параметры!$B$2</f>
        <v/>
      </c>
    </row>
    <row r="131">
      <c r="A131" s="2" t="inlineStr">
        <is>
          <t>M13</t>
        </is>
      </c>
      <c r="B131" s="4" t="inlineStr">
        <is>
          <t>Frontend: app/apple-icon.tsx (next/og)</t>
        </is>
      </c>
      <c r="C131" s="6" t="inlineStr"/>
      <c r="D131" s="6" t="inlineStr"/>
      <c r="E131" s="6" t="inlineStr"/>
      <c r="F131" s="6" t="inlineStr"/>
      <c r="G131" s="6" t="inlineStr"/>
      <c r="H131" s="6" t="n">
        <v>0</v>
      </c>
      <c r="I131" s="3">
        <f>H131*Параметры!$B$2</f>
        <v/>
      </c>
    </row>
    <row r="132">
      <c r="A132" s="2" t="inlineStr">
        <is>
          <t>M13</t>
        </is>
      </c>
      <c r="B132" s="4" t="inlineStr">
        <is>
          <t>Frontend: app/opengraph-image.tsx (winyl + wordmark)</t>
        </is>
      </c>
      <c r="C132" s="6" t="inlineStr"/>
      <c r="D132" s="6" t="n">
        <v>3</v>
      </c>
      <c r="E132" s="6" t="inlineStr"/>
      <c r="F132" s="6" t="inlineStr"/>
      <c r="G132" s="6" t="inlineStr"/>
      <c r="H132" s="6" t="n">
        <v>3</v>
      </c>
      <c r="I132" s="3">
        <f>H132*Параметры!$B$2</f>
        <v/>
      </c>
    </row>
    <row r="133">
      <c r="A133" s="2" t="inlineStr">
        <is>
          <t>M13</t>
        </is>
      </c>
      <c r="B133" s="4" t="inlineStr">
        <is>
          <t>Frontend: app/manifest.ts + app/robots.ts</t>
        </is>
      </c>
      <c r="C133" s="6" t="inlineStr"/>
      <c r="D133" s="6" t="inlineStr"/>
      <c r="E133" s="6" t="inlineStr"/>
      <c r="F133" s="6" t="inlineStr"/>
      <c r="G133" s="6" t="inlineStr"/>
      <c r="H133" s="6" t="n">
        <v>0</v>
      </c>
      <c r="I133" s="3">
        <f>H133*Параметры!$B$2</f>
        <v/>
      </c>
    </row>
    <row r="134">
      <c r="A134" s="2" t="inlineStr">
        <is>
          <t>M13</t>
        </is>
      </c>
      <c r="B134" s="4" t="inlineStr">
        <is>
          <t>Frontend: расширенные metadata + viewport в layout</t>
        </is>
      </c>
      <c r="C134" s="6" t="inlineStr"/>
      <c r="D134" s="6" t="inlineStr"/>
      <c r="E134" s="6" t="inlineStr"/>
      <c r="F134" s="6" t="inlineStr"/>
      <c r="G134" s="6" t="inlineStr"/>
      <c r="H134" s="6" t="n">
        <v>0</v>
      </c>
      <c r="I134" s="3">
        <f>H134*Параметры!$B$2</f>
        <v/>
      </c>
    </row>
    <row r="135">
      <c r="A135" s="2" t="inlineStr">
        <is>
          <t>M13</t>
        </is>
      </c>
      <c r="B135" s="4" t="inlineStr">
        <is>
          <t>Frontend: лого в Sidebar и Login (мини-винил)</t>
        </is>
      </c>
      <c r="C135" s="6" t="inlineStr"/>
      <c r="D135" s="6" t="inlineStr"/>
      <c r="E135" s="6" t="inlineStr"/>
      <c r="F135" s="6" t="inlineStr"/>
      <c r="G135" s="6" t="inlineStr"/>
      <c r="H135" s="6" t="n">
        <v>0</v>
      </c>
      <c r="I135" s="3">
        <f>H135*Параметры!$B$2</f>
        <v/>
      </c>
    </row>
    <row r="136">
      <c r="A136" s="2" t="inlineStr">
        <is>
          <t>M13</t>
        </is>
      </c>
      <c r="B136" s="4" t="inlineStr">
        <is>
          <t>Дизайн: brand identity (логотип-винил, типографика, цвета)</t>
        </is>
      </c>
      <c r="C136" s="6" t="inlineStr"/>
      <c r="D136" s="6" t="inlineStr"/>
      <c r="E136" s="6" t="n">
        <v>1</v>
      </c>
      <c r="F136" s="6" t="inlineStr"/>
      <c r="G136" s="6" t="inlineStr"/>
      <c r="H136" s="6" t="n">
        <v>1</v>
      </c>
      <c r="I136" s="3">
        <f>H136*Параметры!$B$2</f>
        <v/>
      </c>
    </row>
    <row r="137">
      <c r="A137" s="2" t="inlineStr">
        <is>
          <t>M13</t>
        </is>
      </c>
      <c r="B137" s="4" t="inlineStr">
        <is>
          <t>Дизайн: OG-композиция</t>
        </is>
      </c>
      <c r="C137" s="6" t="inlineStr"/>
      <c r="D137" s="6" t="inlineStr"/>
      <c r="E137" s="6" t="inlineStr"/>
      <c r="F137" s="6" t="inlineStr"/>
      <c r="G137" s="6" t="inlineStr"/>
      <c r="H137" s="6" t="n">
        <v>0</v>
      </c>
      <c r="I137" s="3">
        <f>H137*Параметры!$B$2</f>
        <v/>
      </c>
    </row>
    <row r="138">
      <c r="A138" s="11" t="inlineStr"/>
      <c r="B138" s="11" t="inlineStr">
        <is>
          <t>Итого M13</t>
        </is>
      </c>
      <c r="C138" s="12" t="n">
        <v>0</v>
      </c>
      <c r="D138" s="12" t="n">
        <v>3</v>
      </c>
      <c r="E138" s="12" t="n">
        <v>1</v>
      </c>
      <c r="F138" s="12" t="n">
        <v>0</v>
      </c>
      <c r="G138" s="12" t="n">
        <v>0</v>
      </c>
      <c r="H138" s="12" t="n">
        <v>4</v>
      </c>
      <c r="I138" s="13">
        <f>H138*Параметры!$B$2</f>
        <v/>
      </c>
    </row>
    <row r="139">
      <c r="A139" s="10" t="inlineStr">
        <is>
          <t>M14. Аудит-журнал</t>
        </is>
      </c>
    </row>
    <row r="140">
      <c r="A140" s="2" t="inlineStr">
        <is>
          <t>M14</t>
        </is>
      </c>
      <c r="B140" s="4" t="inlineStr">
        <is>
          <t>Backend: модель AuditLog + миграция + индексы</t>
        </is>
      </c>
      <c r="C140" s="6" t="inlineStr"/>
      <c r="D140" s="6" t="inlineStr"/>
      <c r="E140" s="6" t="inlineStr"/>
      <c r="F140" s="6" t="inlineStr"/>
      <c r="G140" s="6" t="inlineStr"/>
      <c r="H140" s="6" t="n">
        <v>0</v>
      </c>
      <c r="I140" s="3">
        <f>H140*Параметры!$B$2</f>
        <v/>
      </c>
    </row>
    <row r="141">
      <c r="A141" s="2" t="inlineStr">
        <is>
          <t>M14</t>
        </is>
      </c>
      <c r="B141" s="4" t="inlineStr">
        <is>
          <t>Backend: сервис log_action + _scrub</t>
        </is>
      </c>
      <c r="C141" s="6" t="n">
        <v>3</v>
      </c>
      <c r="D141" s="6" t="inlineStr"/>
      <c r="E141" s="6" t="inlineStr"/>
      <c r="F141" s="6" t="inlineStr"/>
      <c r="G141" s="6" t="inlineStr"/>
      <c r="H141" s="6" t="n">
        <v>3</v>
      </c>
      <c r="I141" s="3">
        <f>H141*Параметры!$B$2</f>
        <v/>
      </c>
    </row>
    <row r="142">
      <c r="A142" s="2" t="inlineStr">
        <is>
          <t>M14</t>
        </is>
      </c>
      <c r="B142" s="4" t="inlineStr">
        <is>
          <t>Backend: интеграция log_action во все write-эндпоинты</t>
        </is>
      </c>
      <c r="C142" s="6" t="n">
        <v>1</v>
      </c>
      <c r="D142" s="6" t="inlineStr"/>
      <c r="E142" s="6" t="inlineStr"/>
      <c r="F142" s="6" t="inlineStr"/>
      <c r="G142" s="6" t="inlineStr"/>
      <c r="H142" s="6" t="n">
        <v>1</v>
      </c>
      <c r="I142" s="3">
        <f>H142*Параметры!$B$2</f>
        <v/>
      </c>
    </row>
    <row r="143">
      <c r="A143" s="2" t="inlineStr">
        <is>
          <t>M14</t>
        </is>
      </c>
      <c r="B143" s="4" t="inlineStr">
        <is>
          <t>Backend API /audit-log с фильтрами</t>
        </is>
      </c>
      <c r="C143" s="6" t="inlineStr"/>
      <c r="D143" s="6" t="inlineStr"/>
      <c r="E143" s="6" t="inlineStr"/>
      <c r="F143" s="6" t="inlineStr"/>
      <c r="G143" s="6" t="inlineStr"/>
      <c r="H143" s="6" t="n">
        <v>0</v>
      </c>
      <c r="I143" s="3">
        <f>H143*Параметры!$B$2</f>
        <v/>
      </c>
    </row>
    <row r="144">
      <c r="A144" s="2" t="inlineStr">
        <is>
          <t>M14</t>
        </is>
      </c>
      <c r="B144" s="4" t="inlineStr">
        <is>
          <t>Frontend: /audit-log таблица с фильтрами</t>
        </is>
      </c>
      <c r="C144" s="6" t="inlineStr"/>
      <c r="D144" s="6" t="n">
        <v>1</v>
      </c>
      <c r="E144" s="6" t="inlineStr"/>
      <c r="F144" s="6" t="inlineStr"/>
      <c r="G144" s="6" t="inlineStr"/>
      <c r="H144" s="6" t="n">
        <v>1</v>
      </c>
      <c r="I144" s="3">
        <f>H144*Параметры!$B$2</f>
        <v/>
      </c>
    </row>
    <row r="145">
      <c r="A145" s="2" t="inlineStr">
        <is>
          <t>M14</t>
        </is>
      </c>
      <c r="B145" s="4" t="inlineStr">
        <is>
          <t>Дизайн: журнал с раскрывающимся payload</t>
        </is>
      </c>
      <c r="C145" s="6" t="inlineStr"/>
      <c r="D145" s="6" t="inlineStr"/>
      <c r="E145" s="6" t="n">
        <v>1</v>
      </c>
      <c r="F145" s="6" t="inlineStr"/>
      <c r="G145" s="6" t="inlineStr"/>
      <c r="H145" s="6" t="n">
        <v>1</v>
      </c>
      <c r="I145" s="3">
        <f>H145*Параметры!$B$2</f>
        <v/>
      </c>
    </row>
    <row r="146">
      <c r="A146" s="11" t="inlineStr"/>
      <c r="B146" s="11" t="inlineStr">
        <is>
          <t>Итого M14</t>
        </is>
      </c>
      <c r="C146" s="12" t="n">
        <v>4</v>
      </c>
      <c r="D146" s="12" t="n">
        <v>1</v>
      </c>
      <c r="E146" s="12" t="n">
        <v>1</v>
      </c>
      <c r="F146" s="12" t="n">
        <v>0</v>
      </c>
      <c r="G146" s="12" t="n">
        <v>0</v>
      </c>
      <c r="H146" s="12" t="n">
        <v>6</v>
      </c>
      <c r="I146" s="13">
        <f>H146*Параметры!$B$2</f>
        <v/>
      </c>
    </row>
    <row r="147">
      <c r="A147" s="10" t="inlineStr">
        <is>
          <t>M15. Observability и алерты</t>
        </is>
      </c>
    </row>
    <row r="148">
      <c r="A148" s="2" t="inlineStr">
        <is>
          <t>M15</t>
        </is>
      </c>
      <c r="B148" s="4" t="inlineStr">
        <is>
          <t>DevOps: prometheus.yml + scrape backend + retention 30d</t>
        </is>
      </c>
      <c r="C148" s="6" t="inlineStr"/>
      <c r="D148" s="6" t="inlineStr"/>
      <c r="E148" s="6" t="inlineStr"/>
      <c r="F148" s="6" t="inlineStr"/>
      <c r="G148" s="6" t="inlineStr"/>
      <c r="H148" s="6" t="n">
        <v>0</v>
      </c>
      <c r="I148" s="3">
        <f>H148*Параметры!$B$2</f>
        <v/>
      </c>
    </row>
    <row r="149">
      <c r="A149" s="2" t="inlineStr">
        <is>
          <t>M15</t>
        </is>
      </c>
      <c r="B149" s="4" t="inlineStr">
        <is>
          <t>DevOps: loki + promtail (docker_sd_configs, JSON pipeline, 7d)</t>
        </is>
      </c>
      <c r="C149" s="6" t="inlineStr"/>
      <c r="D149" s="6" t="inlineStr"/>
      <c r="E149" s="6" t="inlineStr"/>
      <c r="F149" s="6" t="n">
        <v>3</v>
      </c>
      <c r="G149" s="6" t="inlineStr"/>
      <c r="H149" s="6" t="n">
        <v>3</v>
      </c>
      <c r="I149" s="3">
        <f>H149*Параметры!$B$2</f>
        <v/>
      </c>
    </row>
    <row r="150">
      <c r="A150" s="2" t="inlineStr">
        <is>
          <t>M15</t>
        </is>
      </c>
      <c r="B150" s="4" t="inlineStr">
        <is>
          <t>DevOps: alertmanager + 5 alert rules + inhibit</t>
        </is>
      </c>
      <c r="C150" s="6" t="inlineStr"/>
      <c r="D150" s="6" t="inlineStr"/>
      <c r="E150" s="6" t="inlineStr"/>
      <c r="F150" s="6" t="n">
        <v>1</v>
      </c>
      <c r="G150" s="6" t="inlineStr"/>
      <c r="H150" s="6" t="n">
        <v>1</v>
      </c>
      <c r="I150" s="3">
        <f>H150*Параметры!$B$2</f>
        <v/>
      </c>
    </row>
    <row r="151">
      <c r="A151" s="2" t="inlineStr">
        <is>
          <t>M15</t>
        </is>
      </c>
      <c r="B151" s="4" t="inlineStr">
        <is>
          <t>DevOps: grafana с автопровижионом datasources + dashboard JSON</t>
        </is>
      </c>
      <c r="C151" s="6" t="inlineStr"/>
      <c r="D151" s="6" t="inlineStr"/>
      <c r="E151" s="6" t="inlineStr"/>
      <c r="F151" s="6" t="n">
        <v>1</v>
      </c>
      <c r="G151" s="6" t="inlineStr"/>
      <c r="H151" s="6" t="n">
        <v>1</v>
      </c>
      <c r="I151" s="3">
        <f>H151*Параметры!$B$2</f>
        <v/>
      </c>
    </row>
    <row r="152">
      <c r="A152" s="2" t="inlineStr">
        <is>
          <t>M15</t>
        </is>
      </c>
      <c r="B152" s="4" t="inlineStr">
        <is>
          <t>Backend: prometheus-client middleware (counter/histogram/gauge)</t>
        </is>
      </c>
      <c r="C152" s="6" t="n">
        <v>1</v>
      </c>
      <c r="D152" s="6" t="inlineStr"/>
      <c r="E152" s="6" t="inlineStr"/>
      <c r="F152" s="6" t="inlineStr"/>
      <c r="G152" s="6" t="inlineStr"/>
      <c r="H152" s="6" t="n">
        <v>1</v>
      </c>
      <c r="I152" s="3">
        <f>H152*Параметры!$B$2</f>
        <v/>
      </c>
    </row>
    <row r="153">
      <c r="A153" s="2" t="inlineStr">
        <is>
          <t>M15</t>
        </is>
      </c>
      <c r="B153" s="4" t="inlineStr">
        <is>
          <t>Backend: structlog setup (JSON, contextvars, mask)</t>
        </is>
      </c>
      <c r="C153" s="6" t="inlineStr"/>
      <c r="D153" s="6" t="inlineStr"/>
      <c r="E153" s="6" t="inlineStr"/>
      <c r="F153" s="6" t="inlineStr"/>
      <c r="G153" s="6" t="inlineStr"/>
      <c r="H153" s="6" t="n">
        <v>0</v>
      </c>
      <c r="I153" s="3">
        <f>H153*Параметры!$B$2</f>
        <v/>
      </c>
    </row>
    <row r="154">
      <c r="A154" s="2" t="inlineStr">
        <is>
          <t>M15</t>
        </is>
      </c>
      <c r="B154" s="4" t="inlineStr">
        <is>
          <t>Backend: RequestContextMiddleware (request_id, latency)</t>
        </is>
      </c>
      <c r="C154" s="6" t="inlineStr"/>
      <c r="D154" s="6" t="inlineStr"/>
      <c r="E154" s="6" t="inlineStr"/>
      <c r="F154" s="6" t="inlineStr"/>
      <c r="G154" s="6" t="inlineStr"/>
      <c r="H154" s="6" t="n">
        <v>0</v>
      </c>
      <c r="I154" s="3">
        <f>H154*Параметры!$B$2</f>
        <v/>
      </c>
    </row>
    <row r="155">
      <c r="A155" s="2" t="inlineStr">
        <is>
          <t>M15</t>
        </is>
      </c>
      <c r="B155" s="4" t="inlineStr">
        <is>
          <t>Backend: Sentry init (опционально)</t>
        </is>
      </c>
      <c r="C155" s="6" t="inlineStr"/>
      <c r="D155" s="6" t="inlineStr"/>
      <c r="E155" s="6" t="inlineStr"/>
      <c r="F155" s="6" t="inlineStr"/>
      <c r="G155" s="6" t="inlineStr"/>
      <c r="H155" s="6" t="n">
        <v>0</v>
      </c>
      <c r="I155" s="3">
        <f>H155*Параметры!$B$2</f>
        <v/>
      </c>
    </row>
    <row r="156">
      <c r="A156" s="2" t="inlineStr">
        <is>
          <t>M15</t>
        </is>
      </c>
      <c r="B156" s="4" t="inlineStr">
        <is>
          <t>Дизайн: layout dashboard в Grafana (если нужен кастом)</t>
        </is>
      </c>
      <c r="C156" s="6" t="inlineStr"/>
      <c r="D156" s="6" t="inlineStr"/>
      <c r="E156" s="6" t="n">
        <v>1</v>
      </c>
      <c r="F156" s="6" t="inlineStr"/>
      <c r="G156" s="6" t="inlineStr"/>
      <c r="H156" s="6" t="n">
        <v>1</v>
      </c>
      <c r="I156" s="3">
        <f>H156*Параметры!$B$2</f>
        <v/>
      </c>
    </row>
    <row r="157">
      <c r="A157" s="11" t="inlineStr"/>
      <c r="B157" s="11" t="inlineStr">
        <is>
          <t>Итого M15</t>
        </is>
      </c>
      <c r="C157" s="12" t="n">
        <v>1</v>
      </c>
      <c r="D157" s="12" t="n">
        <v>0</v>
      </c>
      <c r="E157" s="12" t="n">
        <v>1</v>
      </c>
      <c r="F157" s="12" t="n">
        <v>5</v>
      </c>
      <c r="G157" s="12" t="n">
        <v>0</v>
      </c>
      <c r="H157" s="12" t="n">
        <v>7</v>
      </c>
      <c r="I157" s="13">
        <f>H157*Параметры!$B$2</f>
        <v/>
      </c>
    </row>
    <row r="158">
      <c r="A158" s="10" t="inlineStr">
        <is>
          <t>M16. QA: тесты и CI/CD</t>
        </is>
      </c>
    </row>
    <row r="159">
      <c r="A159" s="2" t="inlineStr">
        <is>
          <t>M16</t>
        </is>
      </c>
      <c r="B159" s="4" t="inlineStr">
        <is>
          <t>Backend: conftest.py + testcontainers + фабрики + savepoints</t>
        </is>
      </c>
      <c r="C159" s="6" t="inlineStr"/>
      <c r="D159" s="6" t="inlineStr"/>
      <c r="E159" s="6" t="inlineStr"/>
      <c r="F159" s="6" t="n">
        <v>1</v>
      </c>
      <c r="G159" s="6" t="n">
        <v>2</v>
      </c>
      <c r="H159" s="6" t="n">
        <v>3</v>
      </c>
      <c r="I159" s="3">
        <f>H159*Параметры!$B$2</f>
        <v/>
      </c>
    </row>
    <row r="160">
      <c r="A160" s="2" t="inlineStr">
        <is>
          <t>M16</t>
        </is>
      </c>
      <c r="B160" s="4" t="inlineStr">
        <is>
          <t>Backend: написание ~470 тестов (API + services + bot + workers)</t>
        </is>
      </c>
      <c r="C160" s="6" t="inlineStr"/>
      <c r="D160" s="6" t="inlineStr"/>
      <c r="E160" s="6" t="inlineStr"/>
      <c r="F160" s="6" t="inlineStr"/>
      <c r="G160" s="6" t="n">
        <v>5</v>
      </c>
      <c r="H160" s="6" t="n">
        <v>5</v>
      </c>
      <c r="I160" s="3">
        <f>H160*Параметры!$B$2</f>
        <v/>
      </c>
    </row>
    <row r="161">
      <c r="A161" s="2" t="inlineStr">
        <is>
          <t>M16</t>
        </is>
      </c>
      <c r="B161" s="4" t="inlineStr">
        <is>
          <t>Frontend: setup vitest + MSW + handlers + setupServer</t>
        </is>
      </c>
      <c r="C161" s="6" t="inlineStr"/>
      <c r="D161" s="6" t="inlineStr"/>
      <c r="E161" s="6" t="inlineStr"/>
      <c r="F161" s="6" t="inlineStr"/>
      <c r="G161" s="6" t="inlineStr"/>
      <c r="H161" s="6" t="n">
        <v>0</v>
      </c>
      <c r="I161" s="3">
        <f>H161*Параметры!$B$2</f>
        <v/>
      </c>
    </row>
    <row r="162">
      <c r="A162" s="2" t="inlineStr">
        <is>
          <t>M16</t>
        </is>
      </c>
      <c r="B162" s="4" t="inlineStr">
        <is>
          <t>Frontend: написание ~28 тестов (компоненты + страницы)</t>
        </is>
      </c>
      <c r="C162" s="6" t="inlineStr"/>
      <c r="D162" s="6" t="inlineStr"/>
      <c r="E162" s="6" t="inlineStr"/>
      <c r="F162" s="6" t="inlineStr"/>
      <c r="G162" s="6" t="n">
        <v>2</v>
      </c>
      <c r="H162" s="6" t="n">
        <v>2</v>
      </c>
      <c r="I162" s="3">
        <f>H162*Параметры!$B$2</f>
        <v/>
      </c>
    </row>
    <row r="163">
      <c r="A163" s="2" t="inlineStr">
        <is>
          <t>M16</t>
        </is>
      </c>
      <c r="B163" s="4" t="inlineStr">
        <is>
          <t>E2E: Playwright config + global setup + 6 spec'ов</t>
        </is>
      </c>
      <c r="C163" s="6" t="inlineStr"/>
      <c r="D163" s="6" t="inlineStr"/>
      <c r="E163" s="6" t="inlineStr"/>
      <c r="F163" s="6" t="inlineStr"/>
      <c r="G163" s="6" t="n">
        <v>1</v>
      </c>
      <c r="H163" s="6" t="n">
        <v>1</v>
      </c>
      <c r="I163" s="3">
        <f>H163*Параметры!$B$2</f>
        <v/>
      </c>
    </row>
    <row r="164">
      <c r="A164" s="2" t="inlineStr">
        <is>
          <t>M16</t>
        </is>
      </c>
      <c r="B164" s="4" t="inlineStr">
        <is>
          <t>CI: 5 jobs в GitHub Actions + Codecov + кэш</t>
        </is>
      </c>
      <c r="C164" s="6" t="inlineStr"/>
      <c r="D164" s="6" t="inlineStr"/>
      <c r="E164" s="6" t="inlineStr"/>
      <c r="F164" s="6" t="n">
        <v>1</v>
      </c>
      <c r="G164" s="6" t="inlineStr"/>
      <c r="H164" s="6" t="n">
        <v>1</v>
      </c>
      <c r="I164" s="3">
        <f>H164*Параметры!$B$2</f>
        <v/>
      </c>
    </row>
    <row r="165">
      <c r="A165" s="2" t="inlineStr">
        <is>
          <t>M16</t>
        </is>
      </c>
      <c r="B165" s="4" t="inlineStr">
        <is>
          <t>Pre-commit: 8 хуков, конфигурация</t>
        </is>
      </c>
      <c r="C165" s="6" t="inlineStr"/>
      <c r="D165" s="6" t="inlineStr"/>
      <c r="E165" s="6" t="inlineStr"/>
      <c r="F165" s="6" t="inlineStr"/>
      <c r="G165" s="6" t="inlineStr"/>
      <c r="H165" s="6" t="n">
        <v>0</v>
      </c>
      <c r="I165" s="3">
        <f>H165*Параметры!$B$2</f>
        <v/>
      </c>
    </row>
    <row r="166">
      <c r="A166" s="2" t="inlineStr">
        <is>
          <t>M16</t>
        </is>
      </c>
      <c r="B166" s="4" t="inlineStr">
        <is>
          <t>Security: Trivy scan + gitleaks (soft-fail)</t>
        </is>
      </c>
      <c r="C166" s="6" t="inlineStr"/>
      <c r="D166" s="6" t="inlineStr"/>
      <c r="E166" s="6" t="inlineStr"/>
      <c r="F166" s="6" t="inlineStr"/>
      <c r="G166" s="6" t="inlineStr"/>
      <c r="H166" s="6" t="n">
        <v>0</v>
      </c>
      <c r="I166" s="3">
        <f>H166*Параметры!$B$2</f>
        <v/>
      </c>
    </row>
    <row r="167">
      <c r="A167" s="11" t="inlineStr"/>
      <c r="B167" s="11" t="inlineStr">
        <is>
          <t>Итого M16</t>
        </is>
      </c>
      <c r="C167" s="12" t="n">
        <v>0</v>
      </c>
      <c r="D167" s="12" t="n">
        <v>0</v>
      </c>
      <c r="E167" s="12" t="n">
        <v>0</v>
      </c>
      <c r="F167" s="12" t="n">
        <v>2</v>
      </c>
      <c r="G167" s="12" t="n">
        <v>10</v>
      </c>
      <c r="H167" s="12" t="n">
        <v>12</v>
      </c>
      <c r="I167" s="13">
        <f>H167*Параметры!$B$2</f>
        <v/>
      </c>
    </row>
  </sheetData>
  <mergeCells count="16">
    <mergeCell ref="A29:I29"/>
    <mergeCell ref="A19:I19"/>
    <mergeCell ref="A2:I2"/>
    <mergeCell ref="A129:I129"/>
    <mergeCell ref="A10:I10"/>
    <mergeCell ref="A147:I147"/>
    <mergeCell ref="A37:I37"/>
    <mergeCell ref="A75:I75"/>
    <mergeCell ref="A44:I44"/>
    <mergeCell ref="A94:I94"/>
    <mergeCell ref="A118:I118"/>
    <mergeCell ref="A158:I158"/>
    <mergeCell ref="A55:I55"/>
    <mergeCell ref="A109:I109"/>
    <mergeCell ref="A139:I139"/>
    <mergeCell ref="A83:I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11" customWidth="1" min="4" max="4"/>
    <col width="16" customWidth="1" min="5" max="5"/>
  </cols>
  <sheetData>
    <row r="1">
      <c r="A1" s="1" t="inlineStr">
        <is>
          <t>Пакет</t>
        </is>
      </c>
      <c r="B1" s="1" t="inlineStr">
        <is>
          <t>Описание</t>
        </is>
      </c>
      <c r="C1" s="1" t="inlineStr">
        <is>
          <t>Состав (модули)</t>
        </is>
      </c>
      <c r="D1" s="1" t="inlineStr">
        <is>
          <t>Всего, ч</t>
        </is>
      </c>
      <c r="E1" s="1" t="inlineStr">
        <is>
          <t>Стоимость, ₽</t>
        </is>
      </c>
    </row>
    <row r="2" ht="50" customHeight="1">
      <c r="A2" s="14" t="inlineStr">
        <is>
          <t>Базовый (MVP)</t>
        </is>
      </c>
      <c r="B2" s="4" t="inlineStr">
        <is>
          <t>Минимально жизнеспособный продукт: можно подключить ботов и каналы, продавать продукты, обрабатывать заявки и платежи вручную, выдавать доступ. Без воронок, без полноценной аналитики, без observability.</t>
        </is>
      </c>
      <c r="C2" s="4" t="inlineStr">
        <is>
          <t>M01, M02, M03, M04, M05, M06, M11, M12, M13</t>
        </is>
      </c>
      <c r="D2" s="6" t="n">
        <v>80</v>
      </c>
      <c r="E2" s="3">
        <f>D2*Параметры!$B$2</f>
        <v/>
      </c>
    </row>
    <row r="3" ht="50" customHeight="1">
      <c r="A3" s="14" t="inlineStr">
        <is>
          <t>Стандарт</t>
        </is>
      </c>
      <c r="B3" s="4" t="inlineStr">
        <is>
          <t>Базовый + автоматизация и аналитика: воронки прогрева, tracking-ссылки и UTM, лидмагниты, страница аналитики с фильтрами и графиками, наблюдаемость с алертами. Готовый production-инструмент инфобиз-команды.</t>
        </is>
      </c>
      <c r="C3" s="4" t="inlineStr">
        <is>
          <t>M01, M02, M03, M04, M05, M06, M07, M08, M09, M10, M11, M12, M13, M15</t>
        </is>
      </c>
      <c r="D3" s="6" t="n">
        <v>145</v>
      </c>
      <c r="E3" s="3">
        <f>D3*Параметры!$B$2</f>
        <v/>
      </c>
    </row>
    <row r="4" ht="50" customHeight="1">
      <c r="A4" s="14" t="inlineStr">
        <is>
          <t>Премиум</t>
        </is>
      </c>
      <c r="B4" s="4" t="inlineStr">
        <is>
          <t>Стандарт + полноценный compliance и QA: журнал действий с маскированием секретов, полное покрытие тестами (backend ~470, frontend ~28, e2e 6), CI/CD с 5 jobs, pre-commit, security-сканирование.</t>
        </is>
      </c>
      <c r="C4" s="4" t="inlineStr">
        <is>
          <t>M01, M02, M03, M04, M05, M06, M07, M08, M09, M10, M11, M12, M13, M14, M15, M16</t>
        </is>
      </c>
      <c r="D4" s="6" t="n">
        <v>163</v>
      </c>
      <c r="E4" s="3">
        <f>D4*Параметры!$B$2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Модуль</t>
        </is>
      </c>
      <c r="B1" s="1" t="inlineStr">
        <is>
          <t>Базовый (MVP)</t>
        </is>
      </c>
      <c r="C1" s="1" t="inlineStr">
        <is>
          <t>Стандарт</t>
        </is>
      </c>
      <c r="D1" s="1" t="inlineStr">
        <is>
          <t>Премиум</t>
        </is>
      </c>
    </row>
    <row r="2">
      <c r="A2" s="4" t="inlineStr">
        <is>
          <t>M01. Платформа и инфраструктура</t>
        </is>
      </c>
      <c r="B2" s="15" t="inlineStr">
        <is>
          <t>✓</t>
        </is>
      </c>
      <c r="C2" s="15" t="inlineStr">
        <is>
          <t>✓</t>
        </is>
      </c>
      <c r="D2" s="15" t="inlineStr">
        <is>
          <t>✓</t>
        </is>
      </c>
    </row>
    <row r="3">
      <c r="A3" s="4" t="inlineStr">
        <is>
          <t>M02. Аутентификация и RBAC</t>
        </is>
      </c>
      <c r="B3" s="15" t="inlineStr">
        <is>
          <t>✓</t>
        </is>
      </c>
      <c r="C3" s="15" t="inlineStr">
        <is>
          <t>✓</t>
        </is>
      </c>
      <c r="D3" s="15" t="inlineStr">
        <is>
          <t>✓</t>
        </is>
      </c>
    </row>
    <row r="4">
      <c r="A4" s="4" t="inlineStr">
        <is>
          <t>M03. Каталог: продукты, каналы, боты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</t>
        </is>
      </c>
    </row>
    <row r="5">
      <c r="A5" s="4" t="inlineStr">
        <is>
          <t>M04. Пользователи и first-touch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</row>
    <row r="6">
      <c r="A6" s="4" t="inlineStr">
        <is>
          <t>M05. Заявки (Leads)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</row>
    <row r="7">
      <c r="A7" s="4" t="inlineStr">
        <is>
          <t>M06. Платежи и подписки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</row>
    <row r="8">
      <c r="A8" s="4" t="inlineStr">
        <is>
          <t>M07. Воронки прогрева (Студия)</t>
        </is>
      </c>
      <c r="B8" s="16" t="inlineStr"/>
      <c r="C8" s="15" t="inlineStr">
        <is>
          <t>✓</t>
        </is>
      </c>
      <c r="D8" s="15" t="inlineStr">
        <is>
          <t>✓</t>
        </is>
      </c>
    </row>
    <row r="9">
      <c r="A9" s="4" t="inlineStr">
        <is>
          <t>M08. Лидмагниты</t>
        </is>
      </c>
      <c r="B9" s="16" t="inlineStr"/>
      <c r="C9" s="15" t="inlineStr">
        <is>
          <t>✓</t>
        </is>
      </c>
      <c r="D9" s="15" t="inlineStr">
        <is>
          <t>✓</t>
        </is>
      </c>
    </row>
    <row r="10">
      <c r="A10" s="4" t="inlineStr">
        <is>
          <t>M09. Точки входа: tracking-ссылки и кодовые слова</t>
        </is>
      </c>
      <c r="B10" s="16" t="inlineStr"/>
      <c r="C10" s="15" t="inlineStr">
        <is>
          <t>✓</t>
        </is>
      </c>
      <c r="D10" s="15" t="inlineStr">
        <is>
          <t>✓</t>
        </is>
      </c>
    </row>
    <row r="11">
      <c r="A11" s="4" t="inlineStr">
        <is>
          <t>M10. Аналитика и метрики</t>
        </is>
      </c>
      <c r="B11" s="16" t="inlineStr"/>
      <c r="C11" s="15" t="inlineStr">
        <is>
          <t>✓</t>
        </is>
      </c>
      <c r="D11" s="15" t="inlineStr">
        <is>
          <t>✓</t>
        </is>
      </c>
    </row>
    <row r="12">
      <c r="A12" s="4" t="inlineStr">
        <is>
          <t>M11. Telegram-бот (aiogram, multi-bot)</t>
        </is>
      </c>
      <c r="B12" s="15" t="inlineStr">
        <is>
          <t>✓</t>
        </is>
      </c>
      <c r="C12" s="15" t="inlineStr">
        <is>
          <t>✓</t>
        </is>
      </c>
      <c r="D12" s="15" t="inlineStr">
        <is>
          <t>✓</t>
        </is>
      </c>
    </row>
    <row r="13">
      <c r="A13" s="4" t="inlineStr">
        <is>
          <t>M12. Админ-панель UI/UX (база)</t>
        </is>
      </c>
      <c r="B13" s="15" t="inlineStr">
        <is>
          <t>✓</t>
        </is>
      </c>
      <c r="C13" s="15" t="inlineStr">
        <is>
          <t>✓</t>
        </is>
      </c>
      <c r="D13" s="15" t="inlineStr">
        <is>
          <t>✓</t>
        </is>
      </c>
    </row>
    <row r="14">
      <c r="A14" s="4" t="inlineStr">
        <is>
          <t>M13. Брендинг и SEO</t>
        </is>
      </c>
      <c r="B14" s="15" t="inlineStr">
        <is>
          <t>✓</t>
        </is>
      </c>
      <c r="C14" s="15" t="inlineStr">
        <is>
          <t>✓</t>
        </is>
      </c>
      <c r="D14" s="15" t="inlineStr">
        <is>
          <t>✓</t>
        </is>
      </c>
    </row>
    <row r="15">
      <c r="A15" s="4" t="inlineStr">
        <is>
          <t>M14. Аудит-журнал</t>
        </is>
      </c>
      <c r="B15" s="16" t="inlineStr"/>
      <c r="C15" s="16" t="inlineStr"/>
      <c r="D15" s="15" t="inlineStr">
        <is>
          <t>✓</t>
        </is>
      </c>
    </row>
    <row r="16">
      <c r="A16" s="4" t="inlineStr">
        <is>
          <t>M15. Observability и алерты</t>
        </is>
      </c>
      <c r="B16" s="16" t="inlineStr"/>
      <c r="C16" s="15" t="inlineStr">
        <is>
          <t>✓</t>
        </is>
      </c>
      <c r="D16" s="15" t="inlineStr">
        <is>
          <t>✓</t>
        </is>
      </c>
    </row>
    <row r="17">
      <c r="A17" s="4" t="inlineStr">
        <is>
          <t>M16. QA: тесты и CI/CD</t>
        </is>
      </c>
      <c r="B17" s="16" t="inlineStr"/>
      <c r="C17" s="16" t="inlineStr"/>
      <c r="D17" s="1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2026-05-23T14:31:00Z</dcterms:created>
  <dcterms:modified xmlns:dcterms="http://purl.org/dc/terms/" xmlns:xsi="http://www.w3.org/2001/XMLSchema-instance" xsi:type="dcterms:W3CDTF">2026-05-23T14:31:00Z</dcterms:modified>
</cp:coreProperties>
</file>