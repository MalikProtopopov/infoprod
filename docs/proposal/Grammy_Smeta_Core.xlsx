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Детализация" sheetId="3" state="visible" r:id="rId3"/>
    <sheet xmlns:r="http://schemas.openxmlformats.org/officeDocument/2006/relationships" name="Пакеты" sheetId="4" state="visible" r:id="rId4"/>
    <sheet xmlns:r="http://schemas.openxmlformats.org/officeDocument/2006/relationships" name="Матриц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color rgb="006B7280"/>
      <sz val="9"/>
    </font>
    <font>
      <b val="1"/>
      <color rgb="001E1B4B"/>
      <sz val="11"/>
    </font>
    <font>
      <b val="1"/>
      <color rgb="0092400E"/>
      <sz val="10"/>
    </font>
    <font>
      <b val="1"/>
      <color rgb="004F46E5"/>
      <sz val="11"/>
    </font>
    <font>
      <b val="1"/>
      <color rgb="00059669"/>
      <sz val="12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F3C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Часовая ставка (₽)</t>
        </is>
      </c>
      <c r="B2" s="3" t="n">
        <v>3500</v>
      </c>
    </row>
    <row r="3">
      <c r="A3" s="2" t="inlineStr">
        <is>
          <t>Проект</t>
        </is>
      </c>
      <c r="B3" s="4" t="inlineStr">
        <is>
          <t>Grammy</t>
        </is>
      </c>
    </row>
    <row r="4">
      <c r="A4" s="2" t="inlineStr">
        <is>
          <t>Описание</t>
        </is>
      </c>
      <c r="B4" s="4" t="inlineStr">
        <is>
          <t>Telegram-бот продажи доступа в закрытые каналы + админ-панель</t>
        </is>
      </c>
    </row>
    <row r="6">
      <c r="A6" s="5" t="inlineStr">
        <is>
          <t>Изменение ставки в B2 автоматически пересчитает все стоимости на других листах.</t>
        </is>
      </c>
    </row>
  </sheetData>
  <mergeCells count="1"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6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Модуль</t>
        </is>
      </c>
      <c r="C1" s="1" t="inlineStr">
        <is>
          <t>Backend</t>
        </is>
      </c>
      <c r="D1" s="1" t="inlineStr">
        <is>
          <t>Frontend</t>
        </is>
      </c>
      <c r="E1" s="1" t="inlineStr">
        <is>
          <t>Design</t>
        </is>
      </c>
      <c r="F1" s="1" t="inlineStr">
        <is>
          <t>DevOps</t>
        </is>
      </c>
      <c r="G1" s="1" t="inlineStr">
        <is>
          <t>QA</t>
        </is>
      </c>
      <c r="H1" s="1" t="inlineStr">
        <is>
          <t>Всего, ч</t>
        </is>
      </c>
      <c r="I1" s="1" t="inlineStr">
        <is>
          <t>Стоимость, ₽</t>
        </is>
      </c>
      <c r="J1" s="1" t="inlineStr">
        <is>
          <t>Пакеты</t>
        </is>
      </c>
    </row>
    <row r="2">
      <c r="A2" s="2" t="inlineStr">
        <is>
          <t>M01</t>
        </is>
      </c>
      <c r="B2" s="4" t="inlineStr">
        <is>
          <t>Платформа и инфраструктура</t>
        </is>
      </c>
      <c r="C2" s="6" t="n">
        <v>0</v>
      </c>
      <c r="D2" s="6" t="n">
        <v>0</v>
      </c>
      <c r="E2" s="6" t="n">
        <v>0</v>
      </c>
      <c r="F2" s="6" t="n">
        <v>3</v>
      </c>
      <c r="G2" s="6" t="n">
        <v>0</v>
      </c>
      <c r="H2" s="6" t="n">
        <v>3</v>
      </c>
      <c r="I2" s="3">
        <f>H2*Параметры!$B$2</f>
        <v/>
      </c>
      <c r="J2" s="4" t="inlineStr">
        <is>
          <t>base, standard, premium</t>
        </is>
      </c>
    </row>
    <row r="3">
      <c r="A3" s="2" t="inlineStr">
        <is>
          <t>M02</t>
        </is>
      </c>
      <c r="B3" s="4" t="inlineStr">
        <is>
          <t>Аутентификация и RBAC</t>
        </is>
      </c>
      <c r="C3" s="6" t="n">
        <v>3</v>
      </c>
      <c r="D3" s="6" t="n">
        <v>1</v>
      </c>
      <c r="E3" s="6" t="n">
        <v>0</v>
      </c>
      <c r="F3" s="6" t="n">
        <v>0</v>
      </c>
      <c r="G3" s="6" t="n">
        <v>0</v>
      </c>
      <c r="H3" s="6" t="n">
        <v>4</v>
      </c>
      <c r="I3" s="3">
        <f>H3*Параметры!$B$2</f>
        <v/>
      </c>
      <c r="J3" s="4" t="inlineStr">
        <is>
          <t>base, standard, premium</t>
        </is>
      </c>
    </row>
    <row r="4">
      <c r="A4" s="2" t="inlineStr">
        <is>
          <t>M03</t>
        </is>
      </c>
      <c r="B4" s="4" t="inlineStr">
        <is>
          <t>Каталог: продукты, каналы, боты</t>
        </is>
      </c>
      <c r="C4" s="6" t="n">
        <v>2</v>
      </c>
      <c r="D4" s="6" t="n">
        <v>3</v>
      </c>
      <c r="E4" s="6" t="n">
        <v>1</v>
      </c>
      <c r="F4" s="6" t="n">
        <v>0</v>
      </c>
      <c r="G4" s="6" t="n">
        <v>0</v>
      </c>
      <c r="H4" s="6" t="n">
        <v>6</v>
      </c>
      <c r="I4" s="3">
        <f>H4*Параметры!$B$2</f>
        <v/>
      </c>
      <c r="J4" s="4" t="inlineStr">
        <is>
          <t>base, standard, premium</t>
        </is>
      </c>
    </row>
    <row r="5">
      <c r="A5" s="2" t="inlineStr">
        <is>
          <t>M04</t>
        </is>
      </c>
      <c r="B5" s="4" t="inlineStr">
        <is>
          <t>Пользователи и first-touch</t>
        </is>
      </c>
      <c r="C5" s="6" t="n">
        <v>3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3</v>
      </c>
      <c r="I5" s="3">
        <f>H5*Параметры!$B$2</f>
        <v/>
      </c>
      <c r="J5" s="4" t="inlineStr">
        <is>
          <t>base, standard, premium</t>
        </is>
      </c>
    </row>
    <row r="6">
      <c r="A6" s="2" t="inlineStr">
        <is>
          <t>M05</t>
        </is>
      </c>
      <c r="B6" s="4" t="inlineStr">
        <is>
          <t>Заявки (Leads)</t>
        </is>
      </c>
      <c r="C6" s="6" t="n">
        <v>2</v>
      </c>
      <c r="D6" s="6" t="n">
        <v>2</v>
      </c>
      <c r="E6" s="6" t="n">
        <v>0</v>
      </c>
      <c r="F6" s="6" t="n">
        <v>0</v>
      </c>
      <c r="G6" s="6" t="n">
        <v>0</v>
      </c>
      <c r="H6" s="6" t="n">
        <v>4</v>
      </c>
      <c r="I6" s="3">
        <f>H6*Параметры!$B$2</f>
        <v/>
      </c>
      <c r="J6" s="4" t="inlineStr">
        <is>
          <t>base, standard, premium</t>
        </is>
      </c>
    </row>
    <row r="7">
      <c r="A7" s="2" t="inlineStr">
        <is>
          <t>M06</t>
        </is>
      </c>
      <c r="B7" s="4" t="inlineStr">
        <is>
          <t>Платежи и подписки</t>
        </is>
      </c>
      <c r="C7" s="6" t="n">
        <v>5</v>
      </c>
      <c r="D7" s="6" t="n">
        <v>2</v>
      </c>
      <c r="E7" s="6" t="n">
        <v>1</v>
      </c>
      <c r="F7" s="6" t="n">
        <v>0</v>
      </c>
      <c r="G7" s="6" t="n">
        <v>0</v>
      </c>
      <c r="H7" s="6" t="n">
        <v>8</v>
      </c>
      <c r="I7" s="3">
        <f>H7*Параметры!$B$2</f>
        <v/>
      </c>
      <c r="J7" s="4" t="inlineStr">
        <is>
          <t>base, standard, premium</t>
        </is>
      </c>
    </row>
    <row r="8">
      <c r="A8" s="2" t="inlineStr">
        <is>
          <t>M11</t>
        </is>
      </c>
      <c r="B8" s="4" t="inlineStr">
        <is>
          <t>Telegram-бот (aiogram, multi-bot)</t>
        </is>
      </c>
      <c r="C8" s="6" t="n">
        <v>5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5</v>
      </c>
      <c r="I8" s="3">
        <f>H8*Параметры!$B$2</f>
        <v/>
      </c>
      <c r="J8" s="4" t="inlineStr">
        <is>
          <t>base, standard, premium</t>
        </is>
      </c>
    </row>
    <row r="9">
      <c r="A9" s="2" t="inlineStr">
        <is>
          <t>M12</t>
        </is>
      </c>
      <c r="B9" s="4" t="inlineStr">
        <is>
          <t>Админ-панель UI/UX (база)</t>
        </is>
      </c>
      <c r="C9" s="6" t="n">
        <v>0</v>
      </c>
      <c r="D9" s="6" t="n">
        <v>3</v>
      </c>
      <c r="E9" s="6" t="n">
        <v>1</v>
      </c>
      <c r="F9" s="6" t="n">
        <v>0</v>
      </c>
      <c r="G9" s="6" t="n">
        <v>0</v>
      </c>
      <c r="H9" s="6" t="n">
        <v>4</v>
      </c>
      <c r="I9" s="3">
        <f>H9*Параметры!$B$2</f>
        <v/>
      </c>
      <c r="J9" s="4" t="inlineStr">
        <is>
          <t>base, standard, premium</t>
        </is>
      </c>
    </row>
    <row r="10">
      <c r="A10" s="2" t="inlineStr">
        <is>
          <t>M13</t>
        </is>
      </c>
      <c r="B10" s="4" t="inlineStr">
        <is>
          <t>Брендинг и SEO</t>
        </is>
      </c>
      <c r="C10" s="6" t="n">
        <v>0</v>
      </c>
      <c r="D10" s="6" t="n">
        <v>0</v>
      </c>
      <c r="E10" s="6" t="n">
        <v>3</v>
      </c>
      <c r="F10" s="6" t="n">
        <v>0</v>
      </c>
      <c r="G10" s="6" t="n">
        <v>0</v>
      </c>
      <c r="H10" s="6" t="n">
        <v>3</v>
      </c>
      <c r="I10" s="3">
        <f>H10*Параметры!$B$2</f>
        <v/>
      </c>
      <c r="J10" s="4" t="inlineStr">
        <is>
          <t>base, standard, premium</t>
        </is>
      </c>
    </row>
    <row r="11">
      <c r="A11" s="7" t="inlineStr">
        <is>
          <t>ИТОГО</t>
        </is>
      </c>
      <c r="B11" s="7" t="inlineStr">
        <is>
          <t>Все модули (полная комплектация)</t>
        </is>
      </c>
      <c r="C11" s="8">
        <f>SUM(C2:C10)</f>
        <v/>
      </c>
      <c r="D11" s="8">
        <f>SUM(D2:D10)</f>
        <v/>
      </c>
      <c r="E11" s="8">
        <f>SUM(E2:E10)</f>
        <v/>
      </c>
      <c r="F11" s="8">
        <f>SUM(F2:F10)</f>
        <v/>
      </c>
      <c r="G11" s="8">
        <f>SUM(G2:G10)</f>
        <v/>
      </c>
      <c r="H11" s="8">
        <f>SUM(H2:H10)</f>
        <v/>
      </c>
      <c r="I11" s="9">
        <f>H11*Параметры!$B$2</f>
        <v/>
      </c>
      <c r="J1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6" customWidth="1" min="9" max="9"/>
  </cols>
  <sheetData>
    <row r="1">
      <c r="A1" s="1" t="inlineStr">
        <is>
          <t>Модуль ТЗ</t>
        </is>
      </c>
      <c r="B1" s="1" t="inlineStr">
        <is>
          <t>Задача</t>
        </is>
      </c>
      <c r="C1" s="1" t="inlineStr">
        <is>
          <t>Backend</t>
        </is>
      </c>
      <c r="D1" s="1" t="inlineStr">
        <is>
          <t>Frontend</t>
        </is>
      </c>
      <c r="E1" s="1" t="inlineStr">
        <is>
          <t>Design</t>
        </is>
      </c>
      <c r="F1" s="1" t="inlineStr">
        <is>
          <t>DevOps</t>
        </is>
      </c>
      <c r="G1" s="1" t="inlineStr">
        <is>
          <t>QA</t>
        </is>
      </c>
      <c r="H1" s="1" t="inlineStr">
        <is>
          <t>Всего, ч</t>
        </is>
      </c>
      <c r="I1" s="1" t="inlineStr">
        <is>
          <t>Стоимость, ₽</t>
        </is>
      </c>
    </row>
    <row r="2">
      <c r="A2" s="10" t="inlineStr">
        <is>
          <t>M01. Платформа и инфраструктура</t>
        </is>
      </c>
    </row>
    <row r="3">
      <c r="A3" s="2" t="inlineStr">
        <is>
          <t>M01</t>
        </is>
      </c>
      <c r="B3" s="4" t="inlineStr">
        <is>
          <t>Docker Compose: db / backend / admin / nginx / certbot</t>
        </is>
      </c>
      <c r="C3" s="6" t="inlineStr"/>
      <c r="D3" s="6" t="inlineStr"/>
      <c r="E3" s="6" t="inlineStr"/>
      <c r="F3" s="6" t="n">
        <v>3</v>
      </c>
      <c r="G3" s="6" t="inlineStr"/>
      <c r="H3" s="6" t="n">
        <v>3</v>
      </c>
      <c r="I3" s="3">
        <f>H3*Параметры!$B$2</f>
        <v/>
      </c>
    </row>
    <row r="4">
      <c r="A4" s="2" t="inlineStr">
        <is>
          <t>M01</t>
        </is>
      </c>
      <c r="B4" s="4" t="inlineStr">
        <is>
          <t>Healthcheck Postgres + /api/healthz endpoint</t>
        </is>
      </c>
      <c r="C4" s="6" t="inlineStr"/>
      <c r="D4" s="6" t="inlineStr"/>
      <c r="E4" s="6" t="inlineStr"/>
      <c r="F4" s="6" t="inlineStr"/>
      <c r="G4" s="6" t="inlineStr"/>
      <c r="H4" s="6" t="n">
        <v>0</v>
      </c>
      <c r="I4" s="3">
        <f>H4*Параметры!$B$2</f>
        <v/>
      </c>
    </row>
    <row r="5">
      <c r="A5" s="2" t="inlineStr">
        <is>
          <t>M01</t>
        </is>
      </c>
      <c r="B5" s="4" t="inlineStr">
        <is>
          <t>Nginx-конфиг с SSL termination и проксированием</t>
        </is>
      </c>
      <c r="C5" s="6" t="inlineStr"/>
      <c r="D5" s="6" t="inlineStr"/>
      <c r="E5" s="6" t="inlineStr"/>
      <c r="F5" s="6" t="inlineStr"/>
      <c r="G5" s="6" t="inlineStr"/>
      <c r="H5" s="6" t="n">
        <v>0</v>
      </c>
      <c r="I5" s="3">
        <f>H5*Параметры!$B$2</f>
        <v/>
      </c>
    </row>
    <row r="6">
      <c r="A6" s="2" t="inlineStr">
        <is>
          <t>M01</t>
        </is>
      </c>
      <c r="B6" s="4" t="inlineStr">
        <is>
          <t>Certbot webroot + auto-renew</t>
        </is>
      </c>
      <c r="C6" s="6" t="inlineStr"/>
      <c r="D6" s="6" t="inlineStr"/>
      <c r="E6" s="6" t="inlineStr"/>
      <c r="F6" s="6" t="inlineStr"/>
      <c r="G6" s="6" t="inlineStr"/>
      <c r="H6" s="6" t="n">
        <v>0</v>
      </c>
      <c r="I6" s="3">
        <f>H6*Параметры!$B$2</f>
        <v/>
      </c>
    </row>
    <row r="7">
      <c r="A7" s="2" t="inlineStr">
        <is>
          <t>M01</t>
        </is>
      </c>
      <c r="B7" s="4" t="inlineStr">
        <is>
          <t>Cron daily docker cleanup</t>
        </is>
      </c>
      <c r="C7" s="6" t="inlineStr"/>
      <c r="D7" s="6" t="inlineStr"/>
      <c r="E7" s="6" t="inlineStr"/>
      <c r="F7" s="6" t="inlineStr"/>
      <c r="G7" s="6" t="inlineStr"/>
      <c r="H7" s="6" t="n">
        <v>0</v>
      </c>
      <c r="I7" s="3">
        <f>H7*Параметры!$B$2</f>
        <v/>
      </c>
    </row>
    <row r="8">
      <c r="A8" s="2" t="inlineStr">
        <is>
          <t>M01</t>
        </is>
      </c>
      <c r="B8" s="4" t="inlineStr">
        <is>
          <t>.env / .env.example / документация переменных</t>
        </is>
      </c>
      <c r="C8" s="6" t="inlineStr"/>
      <c r="D8" s="6" t="inlineStr"/>
      <c r="E8" s="6" t="inlineStr"/>
      <c r="F8" s="6" t="inlineStr"/>
      <c r="G8" s="6" t="inlineStr"/>
      <c r="H8" s="6" t="n">
        <v>0</v>
      </c>
      <c r="I8" s="3">
        <f>H8*Параметры!$B$2</f>
        <v/>
      </c>
    </row>
    <row r="9">
      <c r="A9" s="11" t="inlineStr"/>
      <c r="B9" s="11" t="inlineStr">
        <is>
          <t>Итого M01</t>
        </is>
      </c>
      <c r="C9" s="12" t="n">
        <v>0</v>
      </c>
      <c r="D9" s="12" t="n">
        <v>0</v>
      </c>
      <c r="E9" s="12" t="n">
        <v>0</v>
      </c>
      <c r="F9" s="12" t="n">
        <v>3</v>
      </c>
      <c r="G9" s="12" t="n">
        <v>0</v>
      </c>
      <c r="H9" s="12" t="n">
        <v>3</v>
      </c>
      <c r="I9" s="13">
        <f>H9*Параметры!$B$2</f>
        <v/>
      </c>
    </row>
    <row r="10">
      <c r="A10" s="10" t="inlineStr">
        <is>
          <t>M02. Аутентификация и RBAC</t>
        </is>
      </c>
    </row>
    <row r="11">
      <c r="A11" s="2" t="inlineStr">
        <is>
          <t>M02</t>
        </is>
      </c>
      <c r="B11" s="4" t="inlineStr">
        <is>
          <t>Backend: модель Admin + миграция + bcrypt-утилиты</t>
        </is>
      </c>
      <c r="C11" s="6" t="inlineStr"/>
      <c r="D11" s="6" t="inlineStr"/>
      <c r="E11" s="6" t="inlineStr"/>
      <c r="F11" s="6" t="inlineStr"/>
      <c r="G11" s="6" t="inlineStr"/>
      <c r="H11" s="6" t="n">
        <v>0</v>
      </c>
      <c r="I11" s="3">
        <f>H11*Параметры!$B$2</f>
        <v/>
      </c>
    </row>
    <row r="12">
      <c r="A12" s="2" t="inlineStr">
        <is>
          <t>M02</t>
        </is>
      </c>
      <c r="B12" s="4" t="inlineStr">
        <is>
          <t>Endpoint /auth/login + JWT + cookie + rate-limit</t>
        </is>
      </c>
      <c r="C12" s="6" t="n">
        <v>3</v>
      </c>
      <c r="D12" s="6" t="inlineStr"/>
      <c r="E12" s="6" t="inlineStr"/>
      <c r="F12" s="6" t="inlineStr"/>
      <c r="G12" s="6" t="inlineStr"/>
      <c r="H12" s="6" t="n">
        <v>3</v>
      </c>
      <c r="I12" s="3">
        <f>H12*Параметры!$B$2</f>
        <v/>
      </c>
    </row>
    <row r="13">
      <c r="A13" s="2" t="inlineStr">
        <is>
          <t>M02</t>
        </is>
      </c>
      <c r="B13" s="4" t="inlineStr">
        <is>
          <t>Endpoint /auth/me + /auth/logout + смена пароля</t>
        </is>
      </c>
      <c r="C13" s="6" t="inlineStr"/>
      <c r="D13" s="6" t="inlineStr"/>
      <c r="E13" s="6" t="inlineStr"/>
      <c r="F13" s="6" t="inlineStr"/>
      <c r="G13" s="6" t="inlineStr"/>
      <c r="H13" s="6" t="n">
        <v>0</v>
      </c>
      <c r="I13" s="3">
        <f>H13*Параметры!$B$2</f>
        <v/>
      </c>
    </row>
    <row r="14">
      <c r="A14" s="2" t="inlineStr">
        <is>
          <t>M02</t>
        </is>
      </c>
      <c r="B14" s="4" t="inlineStr">
        <is>
          <t>Dependency current_admin + require_role(*)</t>
        </is>
      </c>
      <c r="C14" s="6" t="inlineStr"/>
      <c r="D14" s="6" t="inlineStr"/>
      <c r="E14" s="6" t="inlineStr"/>
      <c r="F14" s="6" t="inlineStr"/>
      <c r="G14" s="6" t="inlineStr"/>
      <c r="H14" s="6" t="n">
        <v>0</v>
      </c>
      <c r="I14" s="3">
        <f>H14*Параметры!$B$2</f>
        <v/>
      </c>
    </row>
    <row r="15">
      <c r="A15" s="2" t="inlineStr">
        <is>
          <t>M02</t>
        </is>
      </c>
      <c r="B15" s="4" t="inlineStr">
        <is>
          <t>Frontend: /login форма + redirect логика</t>
        </is>
      </c>
      <c r="C15" s="6" t="inlineStr"/>
      <c r="D15" s="6" t="n">
        <v>1</v>
      </c>
      <c r="E15" s="6" t="inlineStr"/>
      <c r="F15" s="6" t="inlineStr"/>
      <c r="G15" s="6" t="inlineStr"/>
      <c r="H15" s="6" t="n">
        <v>1</v>
      </c>
      <c r="I15" s="3">
        <f>H15*Параметры!$B$2</f>
        <v/>
      </c>
    </row>
    <row r="16">
      <c r="A16" s="2" t="inlineStr">
        <is>
          <t>M02</t>
        </is>
      </c>
      <c r="B16" s="4" t="inlineStr">
        <is>
          <t>Frontend: auth-check в layout, fetch-обёртка с 401</t>
        </is>
      </c>
      <c r="C16" s="6" t="inlineStr"/>
      <c r="D16" s="6" t="inlineStr"/>
      <c r="E16" s="6" t="inlineStr"/>
      <c r="F16" s="6" t="inlineStr"/>
      <c r="G16" s="6" t="inlineStr"/>
      <c r="H16" s="6" t="n">
        <v>0</v>
      </c>
      <c r="I16" s="3">
        <f>H16*Параметры!$B$2</f>
        <v/>
      </c>
    </row>
    <row r="17">
      <c r="A17" s="2" t="inlineStr">
        <is>
          <t>M02</t>
        </is>
      </c>
      <c r="B17" s="4" t="inlineStr">
        <is>
          <t>UX: пустые поля, ошибки, состояние «вошёл»</t>
        </is>
      </c>
      <c r="C17" s="6" t="inlineStr"/>
      <c r="D17" s="6" t="inlineStr"/>
      <c r="E17" s="6" t="inlineStr"/>
      <c r="F17" s="6" t="inlineStr"/>
      <c r="G17" s="6" t="inlineStr"/>
      <c r="H17" s="6" t="n">
        <v>0</v>
      </c>
      <c r="I17" s="3">
        <f>H17*Параметры!$B$2</f>
        <v/>
      </c>
    </row>
    <row r="18">
      <c r="A18" s="11" t="inlineStr"/>
      <c r="B18" s="11" t="inlineStr">
        <is>
          <t>Итого M02</t>
        </is>
      </c>
      <c r="C18" s="12" t="n">
        <v>3</v>
      </c>
      <c r="D18" s="12" t="n">
        <v>1</v>
      </c>
      <c r="E18" s="12" t="n">
        <v>0</v>
      </c>
      <c r="F18" s="12" t="n">
        <v>0</v>
      </c>
      <c r="G18" s="12" t="n">
        <v>0</v>
      </c>
      <c r="H18" s="12" t="n">
        <v>4</v>
      </c>
      <c r="I18" s="13">
        <f>H18*Параметры!$B$2</f>
        <v/>
      </c>
    </row>
    <row r="19">
      <c r="A19" s="10" t="inlineStr">
        <is>
          <t>M03. Каталог: продукты, каналы, боты</t>
        </is>
      </c>
    </row>
    <row r="20">
      <c r="A20" s="2" t="inlineStr">
        <is>
          <t>M03</t>
        </is>
      </c>
      <c r="B20" s="4" t="inlineStr">
        <is>
          <t>Backend: модели Bot/Channel/Product + миграции</t>
        </is>
      </c>
      <c r="C20" s="6" t="inlineStr"/>
      <c r="D20" s="6" t="inlineStr"/>
      <c r="E20" s="6" t="inlineStr"/>
      <c r="F20" s="6" t="inlineStr"/>
      <c r="G20" s="6" t="inlineStr"/>
      <c r="H20" s="6" t="n">
        <v>0</v>
      </c>
      <c r="I20" s="3">
        <f>H20*Параметры!$B$2</f>
        <v/>
      </c>
    </row>
    <row r="21">
      <c r="A21" s="2" t="inlineStr">
        <is>
          <t>M03</t>
        </is>
      </c>
      <c r="B21" s="4" t="inlineStr">
        <is>
          <t>Backend API /bots (CRUD, getMe-валидация, sync polling)</t>
        </is>
      </c>
      <c r="C21" s="6" t="n">
        <v>1</v>
      </c>
      <c r="D21" s="6" t="inlineStr"/>
      <c r="E21" s="6" t="inlineStr"/>
      <c r="F21" s="6" t="inlineStr"/>
      <c r="G21" s="6" t="inlineStr"/>
      <c r="H21" s="6" t="n">
        <v>1</v>
      </c>
      <c r="I21" s="3">
        <f>H21*Параметры!$B$2</f>
        <v/>
      </c>
    </row>
    <row r="22">
      <c r="A22" s="2" t="inlineStr">
        <is>
          <t>M03</t>
        </is>
      </c>
      <c r="B22" s="4" t="inlineStr">
        <is>
          <t>Backend API /channels (CRUD, проверка прав бота)</t>
        </is>
      </c>
      <c r="C22" s="6" t="inlineStr"/>
      <c r="D22" s="6" t="inlineStr"/>
      <c r="E22" s="6" t="inlineStr"/>
      <c r="F22" s="6" t="inlineStr"/>
      <c r="G22" s="6" t="inlineStr"/>
      <c r="H22" s="6" t="n">
        <v>0</v>
      </c>
      <c r="I22" s="3">
        <f>H22*Параметры!$B$2</f>
        <v/>
      </c>
    </row>
    <row r="23">
      <c r="A23" s="2" t="inlineStr">
        <is>
          <t>M03</t>
        </is>
      </c>
      <c r="B23" s="4" t="inlineStr">
        <is>
          <t>Backend API /products (CRUD, code-unique, collision-check)</t>
        </is>
      </c>
      <c r="C23" s="6" t="n">
        <v>1</v>
      </c>
      <c r="D23" s="6" t="inlineStr"/>
      <c r="E23" s="6" t="inlineStr"/>
      <c r="F23" s="6" t="inlineStr"/>
      <c r="G23" s="6" t="inlineStr"/>
      <c r="H23" s="6" t="n">
        <v>1</v>
      </c>
      <c r="I23" s="3">
        <f>H23*Параметры!$B$2</f>
        <v/>
      </c>
    </row>
    <row r="24">
      <c r="A24" s="2" t="inlineStr">
        <is>
          <t>M03</t>
        </is>
      </c>
      <c r="B24" s="4" t="inlineStr">
        <is>
          <t>Frontend: страница /bots</t>
        </is>
      </c>
      <c r="C24" s="6" t="inlineStr"/>
      <c r="D24" s="6" t="n">
        <v>1</v>
      </c>
      <c r="E24" s="6" t="inlineStr"/>
      <c r="F24" s="6" t="inlineStr"/>
      <c r="G24" s="6" t="inlineStr"/>
      <c r="H24" s="6" t="n">
        <v>1</v>
      </c>
      <c r="I24" s="3">
        <f>H24*Параметры!$B$2</f>
        <v/>
      </c>
    </row>
    <row r="25">
      <c r="A25" s="2" t="inlineStr">
        <is>
          <t>M03</t>
        </is>
      </c>
      <c r="B25" s="4" t="inlineStr">
        <is>
          <t>Frontend: страница /channels</t>
        </is>
      </c>
      <c r="C25" s="6" t="inlineStr"/>
      <c r="D25" s="6" t="n">
        <v>1</v>
      </c>
      <c r="E25" s="6" t="inlineStr"/>
      <c r="F25" s="6" t="inlineStr"/>
      <c r="G25" s="6" t="inlineStr"/>
      <c r="H25" s="6" t="n">
        <v>1</v>
      </c>
      <c r="I25" s="3">
        <f>H25*Параметры!$B$2</f>
        <v/>
      </c>
    </row>
    <row r="26">
      <c r="A26" s="2" t="inlineStr">
        <is>
          <t>M03</t>
        </is>
      </c>
      <c r="B26" s="4" t="inlineStr">
        <is>
          <t>Frontend: страница /products + детали + ссылки</t>
        </is>
      </c>
      <c r="C26" s="6" t="inlineStr"/>
      <c r="D26" s="6" t="n">
        <v>1</v>
      </c>
      <c r="E26" s="6" t="inlineStr"/>
      <c r="F26" s="6" t="inlineStr"/>
      <c r="G26" s="6" t="inlineStr"/>
      <c r="H26" s="6" t="n">
        <v>1</v>
      </c>
      <c r="I26" s="3">
        <f>H26*Параметры!$B$2</f>
        <v/>
      </c>
    </row>
    <row r="27">
      <c r="A27" s="2" t="inlineStr">
        <is>
          <t>M03</t>
        </is>
      </c>
      <c r="B27" s="4" t="inlineStr">
        <is>
          <t>Дизайн: формы CRUD, пустые состояния, badges</t>
        </is>
      </c>
      <c r="C27" s="6" t="inlineStr"/>
      <c r="D27" s="6" t="inlineStr"/>
      <c r="E27" s="6" t="n">
        <v>1</v>
      </c>
      <c r="F27" s="6" t="inlineStr"/>
      <c r="G27" s="6" t="inlineStr"/>
      <c r="H27" s="6" t="n">
        <v>1</v>
      </c>
      <c r="I27" s="3">
        <f>H27*Параметры!$B$2</f>
        <v/>
      </c>
    </row>
    <row r="28">
      <c r="A28" s="11" t="inlineStr"/>
      <c r="B28" s="11" t="inlineStr">
        <is>
          <t>Итого M03</t>
        </is>
      </c>
      <c r="C28" s="12" t="n">
        <v>2</v>
      </c>
      <c r="D28" s="12" t="n">
        <v>3</v>
      </c>
      <c r="E28" s="12" t="n">
        <v>1</v>
      </c>
      <c r="F28" s="12" t="n">
        <v>0</v>
      </c>
      <c r="G28" s="12" t="n">
        <v>0</v>
      </c>
      <c r="H28" s="12" t="n">
        <v>6</v>
      </c>
      <c r="I28" s="13">
        <f>H28*Параметры!$B$2</f>
        <v/>
      </c>
    </row>
    <row r="29">
      <c r="A29" s="10" t="inlineStr">
        <is>
          <t>M04. Пользователи и first-touch</t>
        </is>
      </c>
    </row>
    <row r="30">
      <c r="A30" s="2" t="inlineStr">
        <is>
          <t>M04</t>
        </is>
      </c>
      <c r="B30" s="4" t="inlineStr">
        <is>
          <t>Backend: модель User + first_* поля + миграции</t>
        </is>
      </c>
      <c r="C30" s="6" t="n">
        <v>3</v>
      </c>
      <c r="D30" s="6" t="inlineStr"/>
      <c r="E30" s="6" t="inlineStr"/>
      <c r="F30" s="6" t="inlineStr"/>
      <c r="G30" s="6" t="inlineStr"/>
      <c r="H30" s="6" t="n">
        <v>3</v>
      </c>
      <c r="I30" s="3">
        <f>H30*Параметры!$B$2</f>
        <v/>
      </c>
    </row>
    <row r="31">
      <c r="A31" s="2" t="inlineStr">
        <is>
          <t>M04</t>
        </is>
      </c>
      <c r="B31" s="4" t="inlineStr">
        <is>
          <t>Backend: идемпотентная функция _set_first_touch</t>
        </is>
      </c>
      <c r="C31" s="6" t="inlineStr"/>
      <c r="D31" s="6" t="inlineStr"/>
      <c r="E31" s="6" t="inlineStr"/>
      <c r="F31" s="6" t="inlineStr"/>
      <c r="G31" s="6" t="inlineStr"/>
      <c r="H31" s="6" t="n">
        <v>0</v>
      </c>
      <c r="I31" s="3">
        <f>H31*Параметры!$B$2</f>
        <v/>
      </c>
    </row>
    <row r="32">
      <c r="A32" s="2" t="inlineStr">
        <is>
          <t>M04</t>
        </is>
      </c>
      <c r="B32" s="4" t="inlineStr">
        <is>
          <t>Backend API /users (поиск, профиль с JOIN)</t>
        </is>
      </c>
      <c r="C32" s="6" t="inlineStr"/>
      <c r="D32" s="6" t="inlineStr"/>
      <c r="E32" s="6" t="inlineStr"/>
      <c r="F32" s="6" t="inlineStr"/>
      <c r="G32" s="6" t="inlineStr"/>
      <c r="H32" s="6" t="n">
        <v>0</v>
      </c>
      <c r="I32" s="3">
        <f>H32*Параметры!$B$2</f>
        <v/>
      </c>
    </row>
    <row r="33">
      <c r="A33" s="2" t="inlineStr">
        <is>
          <t>M04</t>
        </is>
      </c>
      <c r="B33" s="4" t="inlineStr">
        <is>
          <t>Frontend: /users со строкой поиска</t>
        </is>
      </c>
      <c r="C33" s="6" t="inlineStr"/>
      <c r="D33" s="6" t="inlineStr"/>
      <c r="E33" s="6" t="inlineStr"/>
      <c r="F33" s="6" t="inlineStr"/>
      <c r="G33" s="6" t="inlineStr"/>
      <c r="H33" s="6" t="n">
        <v>0</v>
      </c>
      <c r="I33" s="3">
        <f>H33*Параметры!$B$2</f>
        <v/>
      </c>
    </row>
    <row r="34">
      <c r="A34" s="2" t="inlineStr">
        <is>
          <t>M04</t>
        </is>
      </c>
      <c r="B34" s="4" t="inlineStr">
        <is>
          <t>Frontend: /users/[id] с тремя вкладками истории</t>
        </is>
      </c>
      <c r="C34" s="6" t="inlineStr"/>
      <c r="D34" s="6" t="inlineStr"/>
      <c r="E34" s="6" t="inlineStr"/>
      <c r="F34" s="6" t="inlineStr"/>
      <c r="G34" s="6" t="inlineStr"/>
      <c r="H34" s="6" t="n">
        <v>0</v>
      </c>
      <c r="I34" s="3">
        <f>H34*Параметры!$B$2</f>
        <v/>
      </c>
    </row>
    <row r="35">
      <c r="A35" s="2" t="inlineStr">
        <is>
          <t>M04</t>
        </is>
      </c>
      <c r="B35" s="4" t="inlineStr">
        <is>
          <t>Дизайн: профиль пользователя</t>
        </is>
      </c>
      <c r="C35" s="6" t="inlineStr"/>
      <c r="D35" s="6" t="inlineStr"/>
      <c r="E35" s="6" t="inlineStr"/>
      <c r="F35" s="6" t="inlineStr"/>
      <c r="G35" s="6" t="inlineStr"/>
      <c r="H35" s="6" t="n">
        <v>0</v>
      </c>
      <c r="I35" s="3">
        <f>H35*Параметры!$B$2</f>
        <v/>
      </c>
    </row>
    <row r="36">
      <c r="A36" s="11" t="inlineStr"/>
      <c r="B36" s="11" t="inlineStr">
        <is>
          <t>Итого M04</t>
        </is>
      </c>
      <c r="C36" s="12" t="n">
        <v>3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3</v>
      </c>
      <c r="I36" s="13">
        <f>H36*Параметры!$B$2</f>
        <v/>
      </c>
    </row>
    <row r="37">
      <c r="A37" s="10" t="inlineStr">
        <is>
          <t>M05. Заявки (Leads)</t>
        </is>
      </c>
    </row>
    <row r="38">
      <c r="A38" s="2" t="inlineStr">
        <is>
          <t>M05</t>
        </is>
      </c>
      <c r="B38" s="4" t="inlineStr">
        <is>
          <t>Backend: модель Lead + миграция + FSM</t>
        </is>
      </c>
      <c r="C38" s="6" t="inlineStr"/>
      <c r="D38" s="6" t="inlineStr"/>
      <c r="E38" s="6" t="inlineStr"/>
      <c r="F38" s="6" t="inlineStr"/>
      <c r="G38" s="6" t="inlineStr"/>
      <c r="H38" s="6" t="n">
        <v>0</v>
      </c>
      <c r="I38" s="3">
        <f>H38*Параметры!$B$2</f>
        <v/>
      </c>
    </row>
    <row r="39">
      <c r="A39" s="2" t="inlineStr">
        <is>
          <t>M05</t>
        </is>
      </c>
      <c r="B39" s="4" t="inlineStr">
        <is>
          <t>Backend API /leads (CRUD, фильтр, экспорт CSV)</t>
        </is>
      </c>
      <c r="C39" s="6" t="n">
        <v>2</v>
      </c>
      <c r="D39" s="6" t="inlineStr"/>
      <c r="E39" s="6" t="inlineStr"/>
      <c r="F39" s="6" t="inlineStr"/>
      <c r="G39" s="6" t="inlineStr"/>
      <c r="H39" s="6" t="n">
        <v>2</v>
      </c>
      <c r="I39" s="3">
        <f>H39*Параметры!$B$2</f>
        <v/>
      </c>
    </row>
    <row r="40">
      <c r="A40" s="2" t="inlineStr">
        <is>
          <t>M05</t>
        </is>
      </c>
      <c r="B40" s="4" t="inlineStr">
        <is>
          <t>Frontend: /leads с табами + badge в sidebar</t>
        </is>
      </c>
      <c r="C40" s="6" t="inlineStr"/>
      <c r="D40" s="6" t="n">
        <v>1</v>
      </c>
      <c r="E40" s="6" t="inlineStr"/>
      <c r="F40" s="6" t="inlineStr"/>
      <c r="G40" s="6" t="inlineStr"/>
      <c r="H40" s="6" t="n">
        <v>1</v>
      </c>
      <c r="I40" s="3">
        <f>H40*Параметры!$B$2</f>
        <v/>
      </c>
    </row>
    <row r="41">
      <c r="A41" s="2" t="inlineStr">
        <is>
          <t>M05</t>
        </is>
      </c>
      <c r="B41" s="4" t="inlineStr">
        <is>
          <t>Frontend: /leads/[id]</t>
        </is>
      </c>
      <c r="C41" s="6" t="inlineStr"/>
      <c r="D41" s="6" t="n">
        <v>1</v>
      </c>
      <c r="E41" s="6" t="inlineStr"/>
      <c r="F41" s="6" t="inlineStr"/>
      <c r="G41" s="6" t="inlineStr"/>
      <c r="H41" s="6" t="n">
        <v>1</v>
      </c>
      <c r="I41" s="3">
        <f>H41*Параметры!$B$2</f>
        <v/>
      </c>
    </row>
    <row r="42">
      <c r="A42" s="2" t="inlineStr">
        <is>
          <t>M05</t>
        </is>
      </c>
      <c r="B42" s="4" t="inlineStr">
        <is>
          <t>Дизайн: лид-карточка и таблица</t>
        </is>
      </c>
      <c r="C42" s="6" t="inlineStr"/>
      <c r="D42" s="6" t="inlineStr"/>
      <c r="E42" s="6" t="inlineStr"/>
      <c r="F42" s="6" t="inlineStr"/>
      <c r="G42" s="6" t="inlineStr"/>
      <c r="H42" s="6" t="n">
        <v>0</v>
      </c>
      <c r="I42" s="3">
        <f>H42*Параметры!$B$2</f>
        <v/>
      </c>
    </row>
    <row r="43">
      <c r="A43" s="11" t="inlineStr"/>
      <c r="B43" s="11" t="inlineStr">
        <is>
          <t>Итого M05</t>
        </is>
      </c>
      <c r="C43" s="12" t="n">
        <v>2</v>
      </c>
      <c r="D43" s="12" t="n">
        <v>2</v>
      </c>
      <c r="E43" s="12" t="n">
        <v>0</v>
      </c>
      <c r="F43" s="12" t="n">
        <v>0</v>
      </c>
      <c r="G43" s="12" t="n">
        <v>0</v>
      </c>
      <c r="H43" s="12" t="n">
        <v>4</v>
      </c>
      <c r="I43" s="13">
        <f>H43*Параметры!$B$2</f>
        <v/>
      </c>
    </row>
    <row r="44">
      <c r="A44" s="10" t="inlineStr">
        <is>
          <t>M06. Платежи и подписки</t>
        </is>
      </c>
    </row>
    <row r="45">
      <c r="A45" s="2" t="inlineStr">
        <is>
          <t>M06</t>
        </is>
      </c>
      <c r="B45" s="4" t="inlineStr">
        <is>
          <t>Backend: модели Payment + Subscription + миграции</t>
        </is>
      </c>
      <c r="C45" s="6" t="inlineStr"/>
      <c r="D45" s="6" t="inlineStr"/>
      <c r="E45" s="6" t="inlineStr"/>
      <c r="F45" s="6" t="inlineStr"/>
      <c r="G45" s="6" t="inlineStr"/>
      <c r="H45" s="6" t="n">
        <v>0</v>
      </c>
      <c r="I45" s="3">
        <f>H45*Параметры!$B$2</f>
        <v/>
      </c>
    </row>
    <row r="46">
      <c r="A46" s="2" t="inlineStr">
        <is>
          <t>M06</t>
        </is>
      </c>
      <c r="B46" s="4" t="inlineStr">
        <is>
          <t>Backend: сервис subscriptions.grant_for_payment</t>
        </is>
      </c>
      <c r="C46" s="6" t="n">
        <v>2</v>
      </c>
      <c r="D46" s="6" t="inlineStr"/>
      <c r="E46" s="6" t="inlineStr"/>
      <c r="F46" s="6" t="inlineStr"/>
      <c r="G46" s="6" t="inlineStr"/>
      <c r="H46" s="6" t="n">
        <v>2</v>
      </c>
      <c r="I46" s="3">
        <f>H46*Параметры!$B$2</f>
        <v/>
      </c>
    </row>
    <row r="47">
      <c r="A47" s="2" t="inlineStr">
        <is>
          <t>M06</t>
        </is>
      </c>
      <c r="B47" s="4" t="inlineStr">
        <is>
          <t>Backend: revoke/extend + интеграция aiogram (kick, invite)</t>
        </is>
      </c>
      <c r="C47" s="6" t="n">
        <v>1</v>
      </c>
      <c r="D47" s="6" t="inlineStr"/>
      <c r="E47" s="6" t="inlineStr"/>
      <c r="F47" s="6" t="inlineStr"/>
      <c r="G47" s="6" t="inlineStr"/>
      <c r="H47" s="6" t="n">
        <v>1</v>
      </c>
      <c r="I47" s="3">
        <f>H47*Параметры!$B$2</f>
        <v/>
      </c>
    </row>
    <row r="48">
      <c r="A48" s="2" t="inlineStr">
        <is>
          <t>M06</t>
        </is>
      </c>
      <c r="B48" s="4" t="inlineStr">
        <is>
          <t>Backend API /payments + /subscriptions</t>
        </is>
      </c>
      <c r="C48" s="6" t="n">
        <v>1</v>
      </c>
      <c r="D48" s="6" t="inlineStr"/>
      <c r="E48" s="6" t="inlineStr"/>
      <c r="F48" s="6" t="inlineStr"/>
      <c r="G48" s="6" t="inlineStr"/>
      <c r="H48" s="6" t="n">
        <v>1</v>
      </c>
      <c r="I48" s="3">
        <f>H48*Параметры!$B$2</f>
        <v/>
      </c>
    </row>
    <row r="49">
      <c r="A49" s="2" t="inlineStr">
        <is>
          <t>M06</t>
        </is>
      </c>
      <c r="B49" s="4" t="inlineStr">
        <is>
          <t>Backend: worker expire_due (APScheduler hourly)</t>
        </is>
      </c>
      <c r="C49" s="6" t="inlineStr"/>
      <c r="D49" s="6" t="inlineStr"/>
      <c r="E49" s="6" t="inlineStr"/>
      <c r="F49" s="6" t="inlineStr"/>
      <c r="G49" s="6" t="inlineStr"/>
      <c r="H49" s="6" t="n">
        <v>0</v>
      </c>
      <c r="I49" s="3">
        <f>H49*Параметры!$B$2</f>
        <v/>
      </c>
    </row>
    <row r="50">
      <c r="A50" s="2" t="inlineStr">
        <is>
          <t>M06</t>
        </is>
      </c>
      <c r="B50" s="4" t="inlineStr">
        <is>
          <t>Backend: Telegram Payments — PreCheckout + SuccessfulPayment</t>
        </is>
      </c>
      <c r="C50" s="6" t="n">
        <v>1</v>
      </c>
      <c r="D50" s="6" t="inlineStr"/>
      <c r="E50" s="6" t="inlineStr"/>
      <c r="F50" s="6" t="inlineStr"/>
      <c r="G50" s="6" t="inlineStr"/>
      <c r="H50" s="6" t="n">
        <v>1</v>
      </c>
      <c r="I50" s="3">
        <f>H50*Параметры!$B$2</f>
        <v/>
      </c>
    </row>
    <row r="51">
      <c r="A51" s="2" t="inlineStr">
        <is>
          <t>M06</t>
        </is>
      </c>
      <c r="B51" s="4" t="inlineStr">
        <is>
          <t>Frontend: /payments + UserPicker</t>
        </is>
      </c>
      <c r="C51" s="6" t="inlineStr"/>
      <c r="D51" s="6" t="n">
        <v>1</v>
      </c>
      <c r="E51" s="6" t="inlineStr"/>
      <c r="F51" s="6" t="inlineStr"/>
      <c r="G51" s="6" t="inlineStr"/>
      <c r="H51" s="6" t="n">
        <v>1</v>
      </c>
      <c r="I51" s="3">
        <f>H51*Параметры!$B$2</f>
        <v/>
      </c>
    </row>
    <row r="52">
      <c r="A52" s="2" t="inlineStr">
        <is>
          <t>M06</t>
        </is>
      </c>
      <c r="B52" s="4" t="inlineStr">
        <is>
          <t>Frontend: /subscriptions с действиями revoke/extend</t>
        </is>
      </c>
      <c r="C52" s="6" t="inlineStr"/>
      <c r="D52" s="6" t="n">
        <v>1</v>
      </c>
      <c r="E52" s="6" t="inlineStr"/>
      <c r="F52" s="6" t="inlineStr"/>
      <c r="G52" s="6" t="inlineStr"/>
      <c r="H52" s="6" t="n">
        <v>1</v>
      </c>
      <c r="I52" s="3">
        <f>H52*Параметры!$B$2</f>
        <v/>
      </c>
    </row>
    <row r="53">
      <c r="A53" s="2" t="inlineStr">
        <is>
          <t>M06</t>
        </is>
      </c>
      <c r="B53" s="4" t="inlineStr">
        <is>
          <t>Дизайн: формы платежа, статусы подписок</t>
        </is>
      </c>
      <c r="C53" s="6" t="inlineStr"/>
      <c r="D53" s="6" t="inlineStr"/>
      <c r="E53" s="6" t="n">
        <v>1</v>
      </c>
      <c r="F53" s="6" t="inlineStr"/>
      <c r="G53" s="6" t="inlineStr"/>
      <c r="H53" s="6" t="n">
        <v>1</v>
      </c>
      <c r="I53" s="3">
        <f>H53*Параметры!$B$2</f>
        <v/>
      </c>
    </row>
    <row r="54">
      <c r="A54" s="11" t="inlineStr"/>
      <c r="B54" s="11" t="inlineStr">
        <is>
          <t>Итого M06</t>
        </is>
      </c>
      <c r="C54" s="12" t="n">
        <v>5</v>
      </c>
      <c r="D54" s="12" t="n">
        <v>2</v>
      </c>
      <c r="E54" s="12" t="n">
        <v>1</v>
      </c>
      <c r="F54" s="12" t="n">
        <v>0</v>
      </c>
      <c r="G54" s="12" t="n">
        <v>0</v>
      </c>
      <c r="H54" s="12" t="n">
        <v>8</v>
      </c>
      <c r="I54" s="13">
        <f>H54*Параметры!$B$2</f>
        <v/>
      </c>
    </row>
    <row r="55">
      <c r="A55" s="10" t="inlineStr">
        <is>
          <t>M11. Telegram-бот (aiogram, multi-bot)</t>
        </is>
      </c>
    </row>
    <row r="56">
      <c r="A56" s="2" t="inlineStr">
        <is>
          <t>M11</t>
        </is>
      </c>
      <c r="B56" s="4" t="inlineStr">
        <is>
          <t>Backend: BotManager (start, sync, stop, crash-detect)</t>
        </is>
      </c>
      <c r="C56" s="6" t="n">
        <v>3</v>
      </c>
      <c r="D56" s="6" t="inlineStr"/>
      <c r="E56" s="6" t="inlineStr"/>
      <c r="F56" s="6" t="inlineStr"/>
      <c r="G56" s="6" t="inlineStr"/>
      <c r="H56" s="6" t="n">
        <v>3</v>
      </c>
      <c r="I56" s="3">
        <f>H56*Параметры!$B$2</f>
        <v/>
      </c>
    </row>
    <row r="57">
      <c r="A57" s="2" t="inlineStr">
        <is>
          <t>M11</t>
        </is>
      </c>
      <c r="B57" s="4" t="inlineStr">
        <is>
          <t>Backend: command handlers (/start с deep-link, /help, /my)</t>
        </is>
      </c>
      <c r="C57" s="6" t="n">
        <v>1</v>
      </c>
      <c r="D57" s="6" t="inlineStr"/>
      <c r="E57" s="6" t="inlineStr"/>
      <c r="F57" s="6" t="inlineStr"/>
      <c r="G57" s="6" t="inlineStr"/>
      <c r="H57" s="6" t="n">
        <v>1</v>
      </c>
      <c r="I57" s="3">
        <f>H57*Параметры!$B$2</f>
        <v/>
      </c>
    </row>
    <row r="58">
      <c r="A58" s="2" t="inlineStr">
        <is>
          <t>M11</t>
        </is>
      </c>
      <c r="B58" s="4" t="inlineStr">
        <is>
          <t>Backend: callback handlers (prod, lead, unsubscribe)</t>
        </is>
      </c>
      <c r="C58" s="6" t="n">
        <v>1</v>
      </c>
      <c r="D58" s="6" t="inlineStr"/>
      <c r="E58" s="6" t="inlineStr"/>
      <c r="F58" s="6" t="inlineStr"/>
      <c r="G58" s="6" t="inlineStr"/>
      <c r="H58" s="6" t="n">
        <v>1</v>
      </c>
      <c r="I58" s="3">
        <f>H58*Параметры!$B$2</f>
        <v/>
      </c>
    </row>
    <row r="59">
      <c r="A59" s="2" t="inlineStr">
        <is>
          <t>M11</t>
        </is>
      </c>
      <c r="B59" s="4" t="inlineStr">
        <is>
          <t>Backend: текстовые сообщения → trigger lookup</t>
        </is>
      </c>
      <c r="C59" s="6" t="inlineStr"/>
      <c r="D59" s="6" t="inlineStr"/>
      <c r="E59" s="6" t="inlineStr"/>
      <c r="F59" s="6" t="inlineStr"/>
      <c r="G59" s="6" t="inlineStr"/>
      <c r="H59" s="6" t="n">
        <v>0</v>
      </c>
      <c r="I59" s="3">
        <f>H59*Параметры!$B$2</f>
        <v/>
      </c>
    </row>
    <row r="60">
      <c r="A60" s="2" t="inlineStr">
        <is>
          <t>M11</t>
        </is>
      </c>
      <c r="B60" s="4" t="inlineStr">
        <is>
          <t>Backend: utility telegram.py (sendMessageSafe, invite, kick)</t>
        </is>
      </c>
      <c r="C60" s="6" t="inlineStr"/>
      <c r="D60" s="6" t="inlineStr"/>
      <c r="E60" s="6" t="inlineStr"/>
      <c r="F60" s="6" t="inlineStr"/>
      <c r="G60" s="6" t="inlineStr"/>
      <c r="H60" s="6" t="n">
        <v>0</v>
      </c>
      <c r="I60" s="3">
        <f>H60*Параметры!$B$2</f>
        <v/>
      </c>
    </row>
    <row r="61">
      <c r="A61" s="2" t="inlineStr">
        <is>
          <t>M11</t>
        </is>
      </c>
      <c r="B61" s="4" t="inlineStr">
        <is>
          <t>Backend: тексты бота (RU)</t>
        </is>
      </c>
      <c r="C61" s="6" t="inlineStr"/>
      <c r="D61" s="6" t="inlineStr"/>
      <c r="E61" s="6" t="inlineStr"/>
      <c r="F61" s="6" t="inlineStr"/>
      <c r="G61" s="6" t="inlineStr"/>
      <c r="H61" s="6" t="n">
        <v>0</v>
      </c>
      <c r="I61" s="3">
        <f>H61*Параметры!$B$2</f>
        <v/>
      </c>
    </row>
    <row r="62">
      <c r="A62" s="2" t="inlineStr">
        <is>
          <t>M11</t>
        </is>
      </c>
      <c r="B62" s="4" t="inlineStr">
        <is>
          <t>Дизайн: тон голоса, эмодзи, кнопки в боте</t>
        </is>
      </c>
      <c r="C62" s="6" t="inlineStr"/>
      <c r="D62" s="6" t="inlineStr"/>
      <c r="E62" s="6" t="inlineStr"/>
      <c r="F62" s="6" t="inlineStr"/>
      <c r="G62" s="6" t="inlineStr"/>
      <c r="H62" s="6" t="n">
        <v>0</v>
      </c>
      <c r="I62" s="3">
        <f>H62*Параметры!$B$2</f>
        <v/>
      </c>
    </row>
    <row r="63">
      <c r="A63" s="11" t="inlineStr"/>
      <c r="B63" s="11" t="inlineStr">
        <is>
          <t>Итого M11</t>
        </is>
      </c>
      <c r="C63" s="12" t="n">
        <v>5</v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5</v>
      </c>
      <c r="I63" s="13">
        <f>H63*Параметры!$B$2</f>
        <v/>
      </c>
    </row>
    <row r="64">
      <c r="A64" s="10" t="inlineStr">
        <is>
          <t>M12. Админ-панель UI/UX (база)</t>
        </is>
      </c>
    </row>
    <row r="65">
      <c r="A65" s="2" t="inlineStr">
        <is>
          <t>M12</t>
        </is>
      </c>
      <c r="B65" s="4" t="inlineStr">
        <is>
          <t>Frontend: UI-библиотека (Button/Input/Select/Field/Card/Sheet/Pill/Empty/Table)</t>
        </is>
      </c>
      <c r="C65" s="6" t="inlineStr"/>
      <c r="D65" s="6" t="n">
        <v>2</v>
      </c>
      <c r="E65" s="6" t="inlineStr"/>
      <c r="F65" s="6" t="inlineStr"/>
      <c r="G65" s="6" t="inlineStr"/>
      <c r="H65" s="6" t="n">
        <v>2</v>
      </c>
      <c r="I65" s="3">
        <f>H65*Параметры!$B$2</f>
        <v/>
      </c>
    </row>
    <row r="66">
      <c r="A66" s="2" t="inlineStr">
        <is>
          <t>M12</t>
        </is>
      </c>
      <c r="B66" s="4" t="inlineStr">
        <is>
          <t>Frontend: Sidebar v2 (группы, collapsible, badges, mobile)</t>
        </is>
      </c>
      <c r="C66" s="6" t="inlineStr"/>
      <c r="D66" s="6" t="n">
        <v>1</v>
      </c>
      <c r="E66" s="6" t="inlineStr"/>
      <c r="F66" s="6" t="inlineStr"/>
      <c r="G66" s="6" t="inlineStr"/>
      <c r="H66" s="6" t="n">
        <v>1</v>
      </c>
      <c r="I66" s="3">
        <f>H66*Параметры!$B$2</f>
        <v/>
      </c>
    </row>
    <row r="67">
      <c r="A67" s="2" t="inlineStr">
        <is>
          <t>M12</t>
        </is>
      </c>
      <c r="B67" s="4" t="inlineStr">
        <is>
          <t>Frontend: Breadcrumbs с динамической мапой названий</t>
        </is>
      </c>
      <c r="C67" s="6" t="inlineStr"/>
      <c r="D67" s="6" t="inlineStr"/>
      <c r="E67" s="6" t="inlineStr"/>
      <c r="F67" s="6" t="inlineStr"/>
      <c r="G67" s="6" t="inlineStr"/>
      <c r="H67" s="6" t="n">
        <v>0</v>
      </c>
      <c r="I67" s="3">
        <f>H67*Параметры!$B$2</f>
        <v/>
      </c>
    </row>
    <row r="68">
      <c r="A68" s="2" t="inlineStr">
        <is>
          <t>M12</t>
        </is>
      </c>
      <c r="B68" s="4" t="inlineStr">
        <is>
          <t>Frontend: ToastProvider (Context, auto-dismiss, aria-live)</t>
        </is>
      </c>
      <c r="C68" s="6" t="inlineStr"/>
      <c r="D68" s="6" t="inlineStr"/>
      <c r="E68" s="6" t="inlineStr"/>
      <c r="F68" s="6" t="inlineStr"/>
      <c r="G68" s="6" t="inlineStr"/>
      <c r="H68" s="6" t="n">
        <v>0</v>
      </c>
      <c r="I68" s="3">
        <f>H68*Параметры!$B$2</f>
        <v/>
      </c>
    </row>
    <row r="69">
      <c r="A69" s="2" t="inlineStr">
        <is>
          <t>M12</t>
        </is>
      </c>
      <c r="B69" s="4" t="inlineStr">
        <is>
          <t>Frontend: globals.css (glass utilities, animations, blob-фон)</t>
        </is>
      </c>
      <c r="C69" s="6" t="inlineStr"/>
      <c r="D69" s="6" t="inlineStr"/>
      <c r="E69" s="6" t="inlineStr"/>
      <c r="F69" s="6" t="inlineStr"/>
      <c r="G69" s="6" t="inlineStr"/>
      <c r="H69" s="6" t="n">
        <v>0</v>
      </c>
      <c r="I69" s="3">
        <f>H69*Параметры!$B$2</f>
        <v/>
      </c>
    </row>
    <row r="70">
      <c r="A70" s="2" t="inlineStr">
        <is>
          <t>M12</t>
        </is>
      </c>
      <c r="B70" s="4" t="inlineStr">
        <is>
          <t>Frontend: Mobile-адаптация (бургер, sticky sidebar, breakpoints)</t>
        </is>
      </c>
      <c r="C70" s="6" t="inlineStr"/>
      <c r="D70" s="6" t="inlineStr"/>
      <c r="E70" s="6" t="inlineStr"/>
      <c r="F70" s="6" t="inlineStr"/>
      <c r="G70" s="6" t="inlineStr"/>
      <c r="H70" s="6" t="n">
        <v>0</v>
      </c>
      <c r="I70" s="3">
        <f>H70*Параметры!$B$2</f>
        <v/>
      </c>
    </row>
    <row r="71">
      <c r="A71" s="2" t="inlineStr">
        <is>
          <t>M12</t>
        </is>
      </c>
      <c r="B71" s="4" t="inlineStr">
        <is>
          <t>Дизайн: дизайн-система (цвета, шрифты, тени, отступы, иконки)</t>
        </is>
      </c>
      <c r="C71" s="6" t="inlineStr"/>
      <c r="D71" s="6" t="inlineStr"/>
      <c r="E71" s="6" t="n">
        <v>1</v>
      </c>
      <c r="F71" s="6" t="inlineStr"/>
      <c r="G71" s="6" t="inlineStr"/>
      <c r="H71" s="6" t="n">
        <v>1</v>
      </c>
      <c r="I71" s="3">
        <f>H71*Параметры!$B$2</f>
        <v/>
      </c>
    </row>
    <row r="72">
      <c r="A72" s="2" t="inlineStr">
        <is>
          <t>M12</t>
        </is>
      </c>
      <c r="B72" s="4" t="inlineStr">
        <is>
          <t>Дизайн: Sidebar v2 (структура групп, badge-логика)</t>
        </is>
      </c>
      <c r="C72" s="6" t="inlineStr"/>
      <c r="D72" s="6" t="inlineStr"/>
      <c r="E72" s="6" t="inlineStr"/>
      <c r="F72" s="6" t="inlineStr"/>
      <c r="G72" s="6" t="inlineStr"/>
      <c r="H72" s="6" t="n">
        <v>0</v>
      </c>
      <c r="I72" s="3">
        <f>H72*Параметры!$B$2</f>
        <v/>
      </c>
    </row>
    <row r="73">
      <c r="A73" s="2" t="inlineStr">
        <is>
          <t>M12</t>
        </is>
      </c>
      <c r="B73" s="4" t="inlineStr">
        <is>
          <t>Дизайн: glass-стиль, gradients, micro-animations</t>
        </is>
      </c>
      <c r="C73" s="6" t="inlineStr"/>
      <c r="D73" s="6" t="inlineStr"/>
      <c r="E73" s="6" t="inlineStr"/>
      <c r="F73" s="6" t="inlineStr"/>
      <c r="G73" s="6" t="inlineStr"/>
      <c r="H73" s="6" t="n">
        <v>0</v>
      </c>
      <c r="I73" s="3">
        <f>H73*Параметры!$B$2</f>
        <v/>
      </c>
    </row>
    <row r="74">
      <c r="A74" s="11" t="inlineStr"/>
      <c r="B74" s="11" t="inlineStr">
        <is>
          <t>Итого M12</t>
        </is>
      </c>
      <c r="C74" s="12" t="n">
        <v>0</v>
      </c>
      <c r="D74" s="12" t="n">
        <v>3</v>
      </c>
      <c r="E74" s="12" t="n">
        <v>1</v>
      </c>
      <c r="F74" s="12" t="n">
        <v>0</v>
      </c>
      <c r="G74" s="12" t="n">
        <v>0</v>
      </c>
      <c r="H74" s="12" t="n">
        <v>4</v>
      </c>
      <c r="I74" s="13">
        <f>H74*Параметры!$B$2</f>
        <v/>
      </c>
    </row>
    <row r="75">
      <c r="A75" s="10" t="inlineStr">
        <is>
          <t>M13. Брендинг и SEO</t>
        </is>
      </c>
    </row>
    <row r="76">
      <c r="A76" s="2" t="inlineStr">
        <is>
          <t>M13</t>
        </is>
      </c>
      <c r="B76" s="4" t="inlineStr">
        <is>
          <t>Frontend: app/icon.svg (виниловая пластинка)</t>
        </is>
      </c>
      <c r="C76" s="6" t="inlineStr"/>
      <c r="D76" s="6" t="inlineStr"/>
      <c r="E76" s="6" t="inlineStr"/>
      <c r="F76" s="6" t="inlineStr"/>
      <c r="G76" s="6" t="inlineStr"/>
      <c r="H76" s="6" t="n">
        <v>0</v>
      </c>
      <c r="I76" s="3">
        <f>H76*Параметры!$B$2</f>
        <v/>
      </c>
    </row>
    <row r="77">
      <c r="A77" s="2" t="inlineStr">
        <is>
          <t>M13</t>
        </is>
      </c>
      <c r="B77" s="4" t="inlineStr">
        <is>
          <t>Frontend: app/apple-icon.tsx (next/og)</t>
        </is>
      </c>
      <c r="C77" s="6" t="inlineStr"/>
      <c r="D77" s="6" t="inlineStr"/>
      <c r="E77" s="6" t="inlineStr"/>
      <c r="F77" s="6" t="inlineStr"/>
      <c r="G77" s="6" t="inlineStr"/>
      <c r="H77" s="6" t="n">
        <v>0</v>
      </c>
      <c r="I77" s="3">
        <f>H77*Параметры!$B$2</f>
        <v/>
      </c>
    </row>
    <row r="78">
      <c r="A78" s="2" t="inlineStr">
        <is>
          <t>M13</t>
        </is>
      </c>
      <c r="B78" s="4" t="inlineStr">
        <is>
          <t>Frontend: app/opengraph-image.tsx (winyl + wordmark)</t>
        </is>
      </c>
      <c r="C78" s="6" t="inlineStr"/>
      <c r="D78" s="6" t="inlineStr"/>
      <c r="E78" s="6" t="inlineStr"/>
      <c r="F78" s="6" t="inlineStr"/>
      <c r="G78" s="6" t="inlineStr"/>
      <c r="H78" s="6" t="n">
        <v>0</v>
      </c>
      <c r="I78" s="3">
        <f>H78*Параметры!$B$2</f>
        <v/>
      </c>
    </row>
    <row r="79">
      <c r="A79" s="2" t="inlineStr">
        <is>
          <t>M13</t>
        </is>
      </c>
      <c r="B79" s="4" t="inlineStr">
        <is>
          <t>Frontend: app/manifest.ts + app/robots.ts</t>
        </is>
      </c>
      <c r="C79" s="6" t="inlineStr"/>
      <c r="D79" s="6" t="inlineStr"/>
      <c r="E79" s="6" t="inlineStr"/>
      <c r="F79" s="6" t="inlineStr"/>
      <c r="G79" s="6" t="inlineStr"/>
      <c r="H79" s="6" t="n">
        <v>0</v>
      </c>
      <c r="I79" s="3">
        <f>H79*Параметры!$B$2</f>
        <v/>
      </c>
    </row>
    <row r="80">
      <c r="A80" s="2" t="inlineStr">
        <is>
          <t>M13</t>
        </is>
      </c>
      <c r="B80" s="4" t="inlineStr">
        <is>
          <t>Frontend: расширенные metadata + viewport в layout</t>
        </is>
      </c>
      <c r="C80" s="6" t="inlineStr"/>
      <c r="D80" s="6" t="inlineStr"/>
      <c r="E80" s="6" t="inlineStr"/>
      <c r="F80" s="6" t="inlineStr"/>
      <c r="G80" s="6" t="inlineStr"/>
      <c r="H80" s="6" t="n">
        <v>0</v>
      </c>
      <c r="I80" s="3">
        <f>H80*Параметры!$B$2</f>
        <v/>
      </c>
    </row>
    <row r="81">
      <c r="A81" s="2" t="inlineStr">
        <is>
          <t>M13</t>
        </is>
      </c>
      <c r="B81" s="4" t="inlineStr">
        <is>
          <t>Frontend: лого в Sidebar и Login (мини-винил)</t>
        </is>
      </c>
      <c r="C81" s="6" t="inlineStr"/>
      <c r="D81" s="6" t="inlineStr"/>
      <c r="E81" s="6" t="inlineStr"/>
      <c r="F81" s="6" t="inlineStr"/>
      <c r="G81" s="6" t="inlineStr"/>
      <c r="H81" s="6" t="n">
        <v>0</v>
      </c>
      <c r="I81" s="3">
        <f>H81*Параметры!$B$2</f>
        <v/>
      </c>
    </row>
    <row r="82">
      <c r="A82" s="2" t="inlineStr">
        <is>
          <t>M13</t>
        </is>
      </c>
      <c r="B82" s="4" t="inlineStr">
        <is>
          <t>Дизайн: brand identity (логотип-винил, типографика, цвета)</t>
        </is>
      </c>
      <c r="C82" s="6" t="inlineStr"/>
      <c r="D82" s="6" t="inlineStr"/>
      <c r="E82" s="6" t="n">
        <v>3</v>
      </c>
      <c r="F82" s="6" t="inlineStr"/>
      <c r="G82" s="6" t="inlineStr"/>
      <c r="H82" s="6" t="n">
        <v>3</v>
      </c>
      <c r="I82" s="3">
        <f>H82*Параметры!$B$2</f>
        <v/>
      </c>
    </row>
    <row r="83">
      <c r="A83" s="2" t="inlineStr">
        <is>
          <t>M13</t>
        </is>
      </c>
      <c r="B83" s="4" t="inlineStr">
        <is>
          <t>Дизайн: OG-композиция</t>
        </is>
      </c>
      <c r="C83" s="6" t="inlineStr"/>
      <c r="D83" s="6" t="inlineStr"/>
      <c r="E83" s="6" t="inlineStr"/>
      <c r="F83" s="6" t="inlineStr"/>
      <c r="G83" s="6" t="inlineStr"/>
      <c r="H83" s="6" t="n">
        <v>0</v>
      </c>
      <c r="I83" s="3">
        <f>H83*Параметры!$B$2</f>
        <v/>
      </c>
    </row>
    <row r="84">
      <c r="A84" s="11" t="inlineStr"/>
      <c r="B84" s="11" t="inlineStr">
        <is>
          <t>Итого M13</t>
        </is>
      </c>
      <c r="C84" s="12" t="n">
        <v>0</v>
      </c>
      <c r="D84" s="12" t="n">
        <v>0</v>
      </c>
      <c r="E84" s="12" t="n">
        <v>3</v>
      </c>
      <c r="F84" s="12" t="n">
        <v>0</v>
      </c>
      <c r="G84" s="12" t="n">
        <v>0</v>
      </c>
      <c r="H84" s="12" t="n">
        <v>3</v>
      </c>
      <c r="I84" s="13">
        <f>H84*Параметры!$B$2</f>
        <v/>
      </c>
    </row>
  </sheetData>
  <mergeCells count="9">
    <mergeCell ref="A29:I29"/>
    <mergeCell ref="A64:I64"/>
    <mergeCell ref="A19:I19"/>
    <mergeCell ref="A2:I2"/>
    <mergeCell ref="A10:I10"/>
    <mergeCell ref="A37:I37"/>
    <mergeCell ref="A75:I75"/>
    <mergeCell ref="A44:I44"/>
    <mergeCell ref="A55:I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  <col width="11" customWidth="1" min="4" max="4"/>
    <col width="16" customWidth="1" min="5" max="5"/>
  </cols>
  <sheetData>
    <row r="1">
      <c r="A1" s="1" t="inlineStr">
        <is>
          <t>Пакет</t>
        </is>
      </c>
      <c r="B1" s="1" t="inlineStr">
        <is>
          <t>Описание</t>
        </is>
      </c>
      <c r="C1" s="1" t="inlineStr">
        <is>
          <t>Состав (модули)</t>
        </is>
      </c>
      <c r="D1" s="1" t="inlineStr">
        <is>
          <t>Всего, ч</t>
        </is>
      </c>
      <c r="E1" s="1" t="inlineStr">
        <is>
          <t>Стоимость, ₽</t>
        </is>
      </c>
    </row>
    <row r="2" ht="50" customHeight="1">
      <c r="A2" s="14" t="inlineStr">
        <is>
          <t>Базовый (MVP)</t>
        </is>
      </c>
      <c r="B2" s="4" t="inlineStr">
        <is>
          <t>Минимально жизнеспособный продукт: можно подключить ботов и каналы, продавать продукты, обрабатывать заявки и платежи вручную, выдавать доступ. Без воронок, без полноценной аналитики, без observability.</t>
        </is>
      </c>
      <c r="C2" s="4" t="inlineStr">
        <is>
          <t>M01, M02, M03, M04, M05, M06, M11, M12, M13</t>
        </is>
      </c>
      <c r="D2" s="6" t="n">
        <v>40</v>
      </c>
      <c r="E2" s="3">
        <f>D2*Параметры!$B$2</f>
        <v/>
      </c>
    </row>
    <row r="3" ht="50" customHeight="1">
      <c r="A3" s="14" t="inlineStr">
        <is>
          <t>Стандарт</t>
        </is>
      </c>
      <c r="B3" s="4" t="inlineStr">
        <is>
          <t>Базовый + автоматизация и аналитика: воронки прогрева, tracking-ссылки и UTM, лидмагниты, страница аналитики с фильтрами и графиками, наблюдаемость с алертами. Готовый production-инструмент инфобиз-команды.</t>
        </is>
      </c>
      <c r="C3" s="4" t="inlineStr">
        <is>
          <t>M01, M02, M03, M04, M05, M06, M11, M12, M13</t>
        </is>
      </c>
      <c r="D3" s="6" t="n">
        <v>40</v>
      </c>
      <c r="E3" s="3">
        <f>D3*Параметры!$B$2</f>
        <v/>
      </c>
    </row>
    <row r="4" ht="50" customHeight="1">
      <c r="A4" s="14" t="inlineStr">
        <is>
          <t>Премиум</t>
        </is>
      </c>
      <c r="B4" s="4" t="inlineStr">
        <is>
          <t>Стандарт + полноценный compliance и QA: журнал действий с маскированием секретов, полное покрытие тестами (backend ~470, frontend ~28, e2e 6), CI/CD с 5 jobs, pre-commit, security-сканирование.</t>
        </is>
      </c>
      <c r="C4" s="4" t="inlineStr">
        <is>
          <t>M01, M02, M03, M04, M05, M06, M11, M12, M13</t>
        </is>
      </c>
      <c r="D4" s="6" t="n">
        <v>40</v>
      </c>
      <c r="E4" s="3">
        <f>D4*Параметры!$B$2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Модуль</t>
        </is>
      </c>
      <c r="B1" s="1" t="inlineStr">
        <is>
          <t>Базовый (MVP)</t>
        </is>
      </c>
      <c r="C1" s="1" t="inlineStr">
        <is>
          <t>Стандарт</t>
        </is>
      </c>
      <c r="D1" s="1" t="inlineStr">
        <is>
          <t>Премиум</t>
        </is>
      </c>
    </row>
    <row r="2">
      <c r="A2" s="4" t="inlineStr">
        <is>
          <t>M01. Платформа и инфраструктура</t>
        </is>
      </c>
      <c r="B2" s="15" t="inlineStr">
        <is>
          <t>✓</t>
        </is>
      </c>
      <c r="C2" s="15" t="inlineStr">
        <is>
          <t>✓</t>
        </is>
      </c>
      <c r="D2" s="15" t="inlineStr">
        <is>
          <t>✓</t>
        </is>
      </c>
    </row>
    <row r="3">
      <c r="A3" s="4" t="inlineStr">
        <is>
          <t>M02. Аутентификация и RBAC</t>
        </is>
      </c>
      <c r="B3" s="15" t="inlineStr">
        <is>
          <t>✓</t>
        </is>
      </c>
      <c r="C3" s="15" t="inlineStr">
        <is>
          <t>✓</t>
        </is>
      </c>
      <c r="D3" s="15" t="inlineStr">
        <is>
          <t>✓</t>
        </is>
      </c>
    </row>
    <row r="4">
      <c r="A4" s="4" t="inlineStr">
        <is>
          <t>M03. Каталог: продукты, каналы, боты</t>
        </is>
      </c>
      <c r="B4" s="15" t="inlineStr">
        <is>
          <t>✓</t>
        </is>
      </c>
      <c r="C4" s="15" t="inlineStr">
        <is>
          <t>✓</t>
        </is>
      </c>
      <c r="D4" s="15" t="inlineStr">
        <is>
          <t>✓</t>
        </is>
      </c>
    </row>
    <row r="5">
      <c r="A5" s="4" t="inlineStr">
        <is>
          <t>M04. Пользователи и first-touch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</t>
        </is>
      </c>
    </row>
    <row r="6">
      <c r="A6" s="4" t="inlineStr">
        <is>
          <t>M05. Заявки (Leads)</t>
        </is>
      </c>
      <c r="B6" s="15" t="inlineStr">
        <is>
          <t>✓</t>
        </is>
      </c>
      <c r="C6" s="15" t="inlineStr">
        <is>
          <t>✓</t>
        </is>
      </c>
      <c r="D6" s="15" t="inlineStr">
        <is>
          <t>✓</t>
        </is>
      </c>
    </row>
    <row r="7">
      <c r="A7" s="4" t="inlineStr">
        <is>
          <t>M06. Платежи и подписки</t>
        </is>
      </c>
      <c r="B7" s="15" t="inlineStr">
        <is>
          <t>✓</t>
        </is>
      </c>
      <c r="C7" s="15" t="inlineStr">
        <is>
          <t>✓</t>
        </is>
      </c>
      <c r="D7" s="15" t="inlineStr">
        <is>
          <t>✓</t>
        </is>
      </c>
    </row>
    <row r="8">
      <c r="A8" s="4" t="inlineStr">
        <is>
          <t>M11. Telegram-бот (aiogram, multi-bot)</t>
        </is>
      </c>
      <c r="B8" s="15" t="inlineStr">
        <is>
          <t>✓</t>
        </is>
      </c>
      <c r="C8" s="15" t="inlineStr">
        <is>
          <t>✓</t>
        </is>
      </c>
      <c r="D8" s="15" t="inlineStr">
        <is>
          <t>✓</t>
        </is>
      </c>
    </row>
    <row r="9">
      <c r="A9" s="4" t="inlineStr">
        <is>
          <t>M12. Админ-панель UI/UX (база)</t>
        </is>
      </c>
      <c r="B9" s="15" t="inlineStr">
        <is>
          <t>✓</t>
        </is>
      </c>
      <c r="C9" s="15" t="inlineStr">
        <is>
          <t>✓</t>
        </is>
      </c>
      <c r="D9" s="15" t="inlineStr">
        <is>
          <t>✓</t>
        </is>
      </c>
    </row>
    <row r="10">
      <c r="A10" s="4" t="inlineStr">
        <is>
          <t>M13. Брендинг и SEO</t>
        </is>
      </c>
      <c r="B10" s="15" t="inlineStr">
        <is>
          <t>✓</t>
        </is>
      </c>
      <c r="C10" s="15" t="inlineStr">
        <is>
          <t>✓</t>
        </is>
      </c>
      <c r="D10" s="15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2026-05-23T14:38:57Z</dcterms:created>
  <dcterms:modified xmlns:dcterms="http://purl.org/dc/terms/" xmlns:xsi="http://www.w3.org/2001/XMLSchema-instance" xsi:type="dcterms:W3CDTF">2026-05-23T14:38:57Z</dcterms:modified>
</cp:coreProperties>
</file>